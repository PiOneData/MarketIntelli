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P0_Reliability" sheetId="2" state="visible" r:id="rId4"/>
    <sheet name="P1_Baseline" sheetId="3" state="visible" r:id="rId5"/>
    <sheet name="P2_Resources" sheetId="4" state="visible" r:id="rId6"/>
    <sheet name="P3_Simulation" sheetId="5" state="visible" r:id="rId7"/>
    <sheet name="P4_Economics" sheetId="6" state="visible" r:id="rId8"/>
    <sheet name="P6_Deployment" sheetId="7" state="visible" r:id="rId9"/>
    <sheet name="P7_Operations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<sst xmlns="http://schemas.openxmlformats.org/spreadsheetml/2006/main" count="690" uniqueCount="458">
  <si>
    <t xml:space="preserve">REWARD² FRAMEWORK — DATA COLLECTION WORKBOOK</t>
  </si>
  <si>
    <t xml:space="preserve">Nxtra by Airtel Portfolio  ·  Refex Energy Assessment  ·  February 2026</t>
  </si>
  <si>
    <t xml:space="preserve">WORKBOOK CONTENTS</t>
  </si>
  <si>
    <t xml:space="preserve">Phase</t>
  </si>
  <si>
    <t xml:space="preserve">Sheet</t>
  </si>
  <si>
    <t xml:space="preserve">Title</t>
  </si>
  <si>
    <t xml:space="preserve">Description</t>
  </si>
  <si>
    <t xml:space="preserve">Phase 0</t>
  </si>
  <si>
    <t xml:space="preserve">P0_Reliability</t>
  </si>
  <si>
    <t xml:space="preserve">Reliability Stratification</t>
  </si>
  <si>
    <t xml:space="preserve">Tier classification, UPS topology, harmonic baseline</t>
  </si>
  <si>
    <t xml:space="preserve">Phase R</t>
  </si>
  <si>
    <t xml:space="preserve">P1_Baseline</t>
  </si>
  <si>
    <t xml:space="preserve">Rigorous Baseline Audit</t>
  </si>
  <si>
    <t xml:space="preserve">15-min AMI metering, PUE profiling, load shapes</t>
  </si>
  <si>
    <t xml:space="preserve">Phase E</t>
  </si>
  <si>
    <t xml:space="preserve">P2_Resources</t>
  </si>
  <si>
    <t xml:space="preserve">Energy Resource Validation</t>
  </si>
  <si>
    <t xml:space="preserve">Solar/wind/H₂ site assessment, curtailment risk</t>
  </si>
  <si>
    <t xml:space="preserve">Phase W</t>
  </si>
  <si>
    <t xml:space="preserve">P3_Simulation</t>
  </si>
  <si>
    <t xml:space="preserve">Load-Storage Simulation</t>
  </si>
  <si>
    <t xml:space="preserve">BESS sizing, P50/P90, dispatch dispatch model</t>
  </si>
  <si>
    <t xml:space="preserve">Phase A</t>
  </si>
  <si>
    <t xml:space="preserve">P4_Economics</t>
  </si>
  <si>
    <t xml:space="preserve">Advanced Economic Modelling</t>
  </si>
  <si>
    <t xml:space="preserve">Bear/Base/Bull NPV, sensitivity matrix, LCA</t>
  </si>
  <si>
    <t xml:space="preserve">Phase R²</t>
  </si>
  <si>
    <t xml:space="preserve">P5_Regulatory</t>
  </si>
  <si>
    <t xml:space="preserve">Resource Optimisation &amp; Regulatory</t>
  </si>
  <si>
    <t xml:space="preserve">Open Access, PPA structure, REC strategy</t>
  </si>
  <si>
    <t xml:space="preserve">Phase D</t>
  </si>
  <si>
    <t xml:space="preserve">P6_Deployment</t>
  </si>
  <si>
    <t xml:space="preserve">Deployment &amp; Commissioning</t>
  </si>
  <si>
    <t xml:space="preserve">Site schedule, milestone tracking, commissioning log</t>
  </si>
  <si>
    <t xml:space="preserve">Phase 7</t>
  </si>
  <si>
    <t xml:space="preserve">P7_Operations</t>
  </si>
  <si>
    <t xml:space="preserve">Operationalisation &amp; Optimisation</t>
  </si>
  <si>
    <t xml:space="preserve">Monthly actuals, BESS SOH, carbon audit</t>
  </si>
  <si>
    <t xml:space="preserve">Dashboard</t>
  </si>
  <si>
    <t xml:space="preserve">PORTFOLIO DASHBOARD</t>
  </si>
  <si>
    <t xml:space="preserve">Summary KPIs, charts and scorecard</t>
  </si>
  <si>
    <t xml:space="preserve">COLOUR CODING LEGEND  (financial model convention)</t>
  </si>
  <si>
    <t xml:space="preserve">Blue text: Hardcoded inputs — values the user enters</t>
  </si>
  <si>
    <t xml:space="preserve">Black text: Formula outputs — calculated automatically</t>
  </si>
  <si>
    <t xml:space="preserve">Green text: Cross-sheet links — pulling from other sheets</t>
  </si>
  <si>
    <t xml:space="preserve">Yellow fill: Key assumptions needing review / update</t>
  </si>
  <si>
    <t xml:space="preserve">PHASE 0 — RELIABILITY STRATIFICATION  |  Power Architecture Baseline</t>
  </si>
  <si>
    <t xml:space="preserve">Classify each DC site by tier, map UPS topology, audit harmonic baseline and establish backup bridge requirements  ·  Standards: TIA-942 · IEEE 519 · IEC 62040</t>
  </si>
  <si>
    <t xml:space="preserve">1.1  SITE TIER CLASSIFICATION (TIA-942 / Uptime Institute)</t>
  </si>
  <si>
    <t xml:space="preserve">Campus / Site</t>
  </si>
  <si>
    <t xml:space="preserve">Location</t>
  </si>
  <si>
    <t xml:space="preserve">IT Load (MW)</t>
  </si>
  <si>
    <t xml:space="preserve">Tier Rating</t>
  </si>
  <si>
    <t xml:space="preserve">Uptime Cert?</t>
  </si>
  <si>
    <t xml:space="preserve">Redundancy</t>
  </si>
  <si>
    <t xml:space="preserve">Cooling N+1?</t>
  </si>
  <si>
    <t xml:space="preserve">MTTR (hrs)</t>
  </si>
  <si>
    <t xml:space="preserve">Intermittency Tolerance (min)</t>
  </si>
  <si>
    <t xml:space="preserve">Chennai Campus</t>
  </si>
  <si>
    <t xml:space="preserve">Chennai, TN</t>
  </si>
  <si>
    <t xml:space="preserve">Tier III</t>
  </si>
  <si>
    <t xml:space="preserve">Yes</t>
  </si>
  <si>
    <t xml:space="preserve">2N</t>
  </si>
  <si>
    <t xml:space="preserve">Mumbai DC-1</t>
  </si>
  <si>
    <t xml:space="preserve">Mumbai, MH</t>
  </si>
  <si>
    <t xml:space="preserve">N+1</t>
  </si>
  <si>
    <t xml:space="preserve">Delhi DC-2</t>
  </si>
  <si>
    <t xml:space="preserve">Gurugram, HR</t>
  </si>
  <si>
    <t xml:space="preserve">No</t>
  </si>
  <si>
    <t xml:space="preserve">Hyderabad New</t>
  </si>
  <si>
    <t xml:space="preserve">Hyderabad, TS</t>
  </si>
  <si>
    <t xml:space="preserve">Tier IV</t>
  </si>
  <si>
    <t xml:space="preserve">2N+1</t>
  </si>
  <si>
    <t xml:space="preserve">Bengaluru HQ</t>
  </si>
  <si>
    <t xml:space="preserve">Bengaluru, KA</t>
  </si>
  <si>
    <t xml:space="preserve">Tier II</t>
  </si>
  <si>
    <t xml:space="preserve">Kolkata Edge Hub</t>
  </si>
  <si>
    <t xml:space="preserve">Kolkata, WB</t>
  </si>
  <si>
    <t xml:space="preserve">Pune Edge</t>
  </si>
  <si>
    <t xml:space="preserve">Pune, MH</t>
  </si>
  <si>
    <t xml:space="preserve">N</t>
  </si>
  <si>
    <t xml:space="preserve">1.2  UPS TOPOLOGY &amp; POWER PATH AUDIT</t>
  </si>
  <si>
    <t xml:space="preserve">UPS Type</t>
  </si>
  <si>
    <t xml:space="preserve">Topology</t>
  </si>
  <si>
    <t xml:space="preserve">Total UPS kVA</t>
  </si>
  <si>
    <t xml:space="preserve">IT Load kVA</t>
  </si>
  <si>
    <t xml:space="preserve">UPS Loading %</t>
  </si>
  <si>
    <t xml:space="preserve">Bypass Available?</t>
  </si>
  <si>
    <t xml:space="preserve">Battery Autonomy (min)</t>
  </si>
  <si>
    <t xml:space="preserve">Last Tested</t>
  </si>
  <si>
    <t xml:space="preserve">Static Online</t>
  </si>
  <si>
    <t xml:space="preserve">Jan-26</t>
  </si>
  <si>
    <t xml:space="preserve">Dec-25</t>
  </si>
  <si>
    <t xml:space="preserve">Nov-25</t>
  </si>
  <si>
    <t xml:space="preserve">Rotary UPS</t>
  </si>
  <si>
    <t xml:space="preserve">Feb-26</t>
  </si>
  <si>
    <t xml:space="preserve">Oct-25</t>
  </si>
  <si>
    <t xml:space="preserve">Sep-25</t>
  </si>
  <si>
    <t xml:space="preserve">Off-line UPS</t>
  </si>
  <si>
    <t xml:space="preserve">Aug-25</t>
  </si>
  <si>
    <t xml:space="preserve">1.3  IEEE 519 HARMONIC BASELINE MEASUREMENT (Point of Common Coupling)</t>
  </si>
  <si>
    <t xml:space="preserve">THD Voltage (%)</t>
  </si>
  <si>
    <t xml:space="preserve">THD Current (%)</t>
  </si>
  <si>
    <t xml:space="preserve">IEEE 519 Limit V%</t>
  </si>
  <si>
    <t xml:space="preserve">IEEE 519 Limit I%</t>
  </si>
  <si>
    <t xml:space="preserve">Compliant?</t>
  </si>
  <si>
    <t xml:space="preserve">Power Factor</t>
  </si>
  <si>
    <t xml:space="preserve">Last Measured</t>
  </si>
  <si>
    <t xml:space="preserve">Monitor quarterly</t>
  </si>
  <si>
    <t xml:space="preserve">PFC capacitor banks</t>
  </si>
  <si>
    <t xml:space="preserve">Marginal</t>
  </si>
  <si>
    <t xml:space="preserve">Active filter required</t>
  </si>
  <si>
    <t xml:space="preserve">None</t>
  </si>
  <si>
    <t xml:space="preserve">URGENT: active harmonic filter</t>
  </si>
  <si>
    <t xml:space="preserve">Monitor</t>
  </si>
  <si>
    <t xml:space="preserve">PHASE R — RIGOROUS BASELINE AUDIT  |  Metered Load Intelligence</t>
  </si>
  <si>
    <t xml:space="preserve">15-minute AMI metering · 12 months minimum · BMS/DCIM integration · PUE sub-hourly verification  ·  Standards: ISO 50001 · Smart Metering</t>
  </si>
  <si>
    <t xml:space="preserve">2.1  ANNUAL VERIFIED LOAD SUMMARY (MW / MWh)</t>
  </si>
  <si>
    <t xml:space="preserve">Campus</t>
  </si>
  <si>
    <t xml:space="preserve">IT Load MW (avg)</t>
  </si>
  <si>
    <t xml:space="preserve">Mech Load MW</t>
  </si>
  <si>
    <t xml:space="preserve">Total MW (avg)</t>
  </si>
  <si>
    <t xml:space="preserve">Peak MW</t>
  </si>
  <si>
    <t xml:space="preserve">Min MW</t>
  </si>
  <si>
    <t xml:space="preserve">PUE (verified)</t>
  </si>
  <si>
    <t xml:space="preserve">Annual MWh</t>
  </si>
  <si>
    <t xml:space="preserve">Load Factor %</t>
  </si>
  <si>
    <t xml:space="preserve">RE-Ready?</t>
  </si>
  <si>
    <t xml:space="preserve">Data Source</t>
  </si>
  <si>
    <t xml:space="preserve">BMS/SCADA</t>
  </si>
  <si>
    <t xml:space="preserve">DCIM</t>
  </si>
  <si>
    <t xml:space="preserve">SCADA</t>
  </si>
  <si>
    <t xml:space="preserve">Partial</t>
  </si>
  <si>
    <t xml:space="preserve">BMS</t>
  </si>
  <si>
    <t xml:space="preserve">Utility bill</t>
  </si>
  <si>
    <t xml:space="preserve">PORTFOLIO TOTAL</t>
  </si>
  <si>
    <t xml:space="preserve">2.2  MONTHLY LOAD PROFILE — Chennai Campus (MW, sample 12-month AMI data)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</si>
  <si>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</si>
  <si>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</si>
  <si>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</si>
  <si>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</si>
  <si>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</si>
  <si>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</si>
  <si>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</si>
  <si>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</si>
  <si>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</si>
  <si>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</si>
  <si>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</si>
  <si>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</si>
  <si>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Mech Load (MW)</t>
  </si>
  <si>
    <t xml:space="preserve">Total Load (MW)</t>
  </si>
  <si>
    <t xml:space="preserve">PUE</t>
  </si>
  <si>
    <t xml:space="preserve">PHASE E — ENERGY RESOURCE VALIDATION  |  Site-Specific Renewable Potential</t>
  </si>
  <si>
    <t xml:space="preserve">Per-site Solargis TMY · Wind viability gate (P50 CF ≥25%) · DISCOM curtailment risk · H₂ supply proximity check  ·  Standards: CERC · IEGC · ISTS</t>
  </si>
  <si>
    <t xml:space="preserve">3.1  SOLAR RESOURCE ASSESSMENT (Solargis TMY per campus)</t>
  </si>
  <si>
    <t xml:space="preserve">Lat / Long</t>
  </si>
  <si>
    <t xml:space="preserve">GHI (kWh/m²/yr)</t>
  </si>
  <si>
    <t xml:space="preserve">Rooftop Area (m²)</t>
  </si>
  <si>
    <t xml:space="preserve">Structural Load OK?</t>
  </si>
  <si>
    <t xml:space="preserve">Shading Loss %</t>
  </si>
  <si>
    <t xml:space="preserve">Usable Area m²</t>
  </si>
  <si>
    <t xml:space="preserve">Capacity MW (est.)</t>
  </si>
  <si>
    <t xml:space="preserve">P50 Gen (MWh/yr)</t>
  </si>
  <si>
    <t xml:space="preserve">P90 Gen (MWh/yr)</t>
  </si>
  <si>
    <t xml:space="preserve">Curtailment Risk %</t>
  </si>
  <si>
    <t xml:space="preserve">13.08°N 80.27°E</t>
  </si>
  <si>
    <t xml:space="preserve">65%</t>
  </si>
  <si>
    <t xml:space="preserve">19.07°N 72.87°E</t>
  </si>
  <si>
    <t xml:space="preserve">55%</t>
  </si>
  <si>
    <t xml:space="preserve">28.67°N 77.00°E</t>
  </si>
  <si>
    <t xml:space="preserve">60%</t>
  </si>
  <si>
    <t xml:space="preserve">17.38°N 78.47°E</t>
  </si>
  <si>
    <t xml:space="preserve">70%</t>
  </si>
  <si>
    <t xml:space="preserve">12.97°N 77.59°E</t>
  </si>
  <si>
    <t xml:space="preserve">50%</t>
  </si>
  <si>
    <t xml:space="preserve">22.57°N 88.36°E</t>
  </si>
  <si>
    <t xml:space="preserve">35%</t>
  </si>
  <si>
    <t xml:space="preserve">18.52°N 73.85°E</t>
  </si>
  <si>
    <t xml:space="preserve">45%</t>
  </si>
  <si>
    <t xml:space="preserve">3.2  WIND VIABILITY GATE  (P50 Capacity Factor ≥25% within 200km required)</t>
  </si>
  <si>
    <t xml:space="preserve">Nearest Wind Zone</t>
  </si>
  <si>
    <t xml:space="preserve">Distance (km)</t>
  </si>
  <si>
    <t xml:space="preserve">P50 CF (%)</t>
  </si>
  <si>
    <t xml:space="preserve">Gate Pass?</t>
  </si>
  <si>
    <t xml:space="preserve">ISTS Connected?</t>
  </si>
  <si>
    <t xml:space="preserve">Wheeling Loss %</t>
  </si>
  <si>
    <t xml:space="preserve">Estimated Cap (MW)</t>
  </si>
  <si>
    <t xml:space="preserve">Annual MWh (est.)</t>
  </si>
  <si>
    <t xml:space="preserve">Tamil Nadu Coast</t>
  </si>
  <si>
    <t xml:space="preserve">YES</t>
  </si>
  <si>
    <t xml:space="preserve">Include</t>
  </si>
  <si>
    <t xml:space="preserve">Gujarat Kutch</t>
  </si>
  <si>
    <t xml:space="preserve">NO</t>
  </si>
  <si>
    <t xml:space="preserve">Exclude — &gt;200km</t>
  </si>
  <si>
    <t xml:space="preserve">Rajasthan</t>
  </si>
  <si>
    <t xml:space="preserve">Include (ISTS reqd)</t>
  </si>
  <si>
    <t xml:space="preserve">Andhra Pradesh</t>
  </si>
  <si>
    <t xml:space="preserve">Exclude — CF &lt;25%</t>
  </si>
  <si>
    <t xml:space="preserve">West Bengal Coast</t>
  </si>
  <si>
    <t xml:space="preserve">Maharashtra</t>
  </si>
  <si>
    <t xml:space="preserve">Exclude — CF + dist</t>
  </si>
  <si>
    <t xml:space="preserve">PHASE W — LOAD-STORAGE SIMULATION  |  BESS Sizing &amp; Dispatch Modelling</t>
  </si>
  <si>
    <t xml:space="preserve">8,760hr dispatch simulation · P50/P90 confidence · BESS degradation curves · IEEE 519 clearance  ·  Standards: HOMER Pro · IEC 62619</t>
  </si>
  <si>
    <t xml:space="preserve">4.1  BESS SIZING RESULTS — Simulation Output per Site</t>
  </si>
  <si>
    <t xml:space="preserve">Solar MW (AC)</t>
  </si>
  <si>
    <t xml:space="preserve">BESS Capacity MWh</t>
  </si>
  <si>
    <t xml:space="preserve">BESS Power MW</t>
  </si>
  <si>
    <t xml:space="preserve">C-Rate</t>
  </si>
  <si>
    <t xml:space="preserve">Chemistry</t>
  </si>
  <si>
    <t xml:space="preserve">Backup Bridge (min)</t>
  </si>
  <si>
    <t xml:space="preserve">Solar Coverage %</t>
  </si>
  <si>
    <t xml:space="preserve">Grid Residual %</t>
  </si>
  <si>
    <t xml:space="preserve">Replacement Yr</t>
  </si>
  <si>
    <t xml:space="preserve">LFP</t>
  </si>
  <si>
    <t xml:space="preserve">4.2  BESS DEGRADATION CURVE — State of Health (SOH) Projection (LFP Chemistry)</t>
  </si>
  <si>
    <t xml:space="preserve">Metric</t>
  </si>
  <si>
    <t xml:space="preserve">Yr 0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</si>
  <si>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</si>
  <si>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</si>
  <si>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</si>
  <si>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</si>
  <si>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</si>
  <si>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</si>
  <si>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</si>
  <si>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</si>
  <si>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Yr 9</t>
  </si>
  <si>
    <t xml:space="preserve">SOH (LFP — 0.5C)</t>
  </si>
  <si>
    <t xml:space="preserve">Effective Capacity MWh (Portfolio 570 MWh)</t>
  </si>
  <si>
    <t xml:space="preserve">Capacity Loss vs. New MWh</t>
  </si>
  <si>
    <t xml:space="preserve">Annual Replacement Cost ₹ Cr</t>
  </si>
  <si>
    <t xml:space="preserve">PHASE A — ADVANCED ECONOMIC MODELLING  |  Stress-Tested 3-Scenario NPV</t>
  </si>
  <si>
    <t xml:space="preserve">Bear (4%) / Base (7%) / Bull (10%) tariff escalation · Monte Carlo sensitivity · GHG Protocol Scope 2+3 · WACC comparison</t>
  </si>
  <si>
    <t xml:space="preserve">5.1  KEY ASSUMPTIONS  (Yellow = User Input)</t>
  </si>
  <si>
    <t xml:space="preserve">Assumption</t>
  </si>
  <si>
    <t xml:space="preserve">Value</t>
  </si>
  <si>
    <t xml:space="preserve">Source / Note</t>
  </si>
  <si>
    <t xml:space="preserve">Bear</t>
  </si>
  <si>
    <t xml:space="preserve">Base</t>
  </si>
  <si>
    <t xml:space="preserve">Bull</t>
  </si>
  <si>
    <t xml:space="preserve">Current grid tariff (₹/kWh)</t>
  </si>
  <si>
    <t xml:space="preserve">Base input</t>
  </si>
  <si>
    <t xml:space="preserve">Bear tariff escalation % p.a.</t>
  </si>
  <si>
    <t xml:space="preserve">Conservative</t>
  </si>
  <si>
    <t xml:space="preserve">Base tariff escalation % p.a.</t>
  </si>
  <si>
    <t xml:space="preserve">Expected</t>
  </si>
  <si>
    <t xml:space="preserve">Bull tariff escalation % p.a.</t>
  </si>
  <si>
    <t xml:space="preserve">Optimistic</t>
  </si>
  <si>
    <t xml:space="preserve">Solar CAPEX (₹ Cr/MW)</t>
  </si>
  <si>
    <t xml:space="preserve">Market 2026</t>
  </si>
  <si>
    <t xml:space="preserve">BESS CAPEX (₹ Cr/MWh)</t>
  </si>
  <si>
    <t xml:space="preserve">LFP 2026</t>
  </si>
  <si>
    <t xml:space="preserve">BESS repl. cost Year 10-12 (₹Cr/MWh)</t>
  </si>
  <si>
    <t xml:space="preserve">Forecast</t>
  </si>
  <si>
    <t xml:space="preserve">Green bond WACC</t>
  </si>
  <si>
    <t xml:space="preserve">IFC/ADB rate</t>
  </si>
  <si>
    <t xml:space="preserve">Balance sheet WACC</t>
  </si>
  <si>
    <t xml:space="preserve">Nxtra WACC</t>
  </si>
  <si>
    <t xml:space="preserve">Annual O&amp;M (% of CAPEX)</t>
  </si>
  <si>
    <t xml:space="preserve">Industry avg</t>
  </si>
  <si>
    <t xml:space="preserve">Grid carbon factor (tCO₂/MWh)</t>
  </si>
  <si>
    <t xml:space="preserve">CEA 2025</t>
  </si>
  <si>
    <t xml:space="preserve">Embodied C solar (tCO₂/MW)</t>
  </si>
  <si>
    <t xml:space="preserve">Mono-PERC</t>
  </si>
  <si>
    <t xml:space="preserve">5.2  10-YEAR NPV MODEL  (₹ Crore)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</si>
  <si>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</si>
  <si>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</si>
  <si>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</si>
  <si>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</si>
  <si>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</si>
  <si>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</si>
  <si>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</si>
  <si>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</si>
  <si>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</si>
  <si>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</si>
  <si>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Grid Tariff ₹/kWh (Base)</t>
  </si>
  <si>
    <t xml:space="preserve">RE Generation (GWh/yr)</t>
  </si>
  <si>
    <t xml:space="preserve">Annual Savings ₹ Cr (Base)</t>
  </si>
  <si>
    <t xml:space="preserve">Annual Savings ₹ Cr (Bear)</t>
  </si>
  <si>
    <t xml:space="preserve">Annual Savings ₹ Cr (Bull)</t>
  </si>
  <si>
    <t xml:space="preserve">Cumulative NPV ₹ Cr (Base)</t>
  </si>
  <si>
    <t xml:space="preserve">5.3  SCENARIO SUMMARY &amp; SENSITIVITY</t>
  </si>
  <si>
    <t xml:space="preserve">Scenario</t>
  </si>
  <si>
    <t xml:space="preserve">10-yr NPV ₹ Cr</t>
  </si>
  <si>
    <t xml:space="preserve">Payback (yr)</t>
  </si>
  <si>
    <t xml:space="preserve">IRR %</t>
  </si>
  <si>
    <t xml:space="preserve">Note</t>
  </si>
  <si>
    <t xml:space="preserve">Bear (4% tariff, P90 solar)</t>
  </si>
  <si>
    <t xml:space="preserve">Conservative — still +ve NPV</t>
  </si>
  <si>
    <t xml:space="preserve">Base (7% tariff, P50 solar)</t>
  </si>
  <si>
    <t xml:space="preserve">Expected case</t>
  </si>
  <si>
    <t xml:space="preserve">Bull (10% tariff, P50+5%)</t>
  </si>
  <si>
    <t xml:space="preserve">Optimistic — tariff escalation</t>
  </si>
  <si>
    <t xml:space="preserve">5.4  SENSITIVITY ANALYSIS — NPV IMPACT (₹ Crore vs. Base ₹8,420 Cr)</t>
  </si>
  <si>
    <t xml:space="preserve">Sensitivity Factor</t>
  </si>
  <si>
    <t xml:space="preserve">−20%</t>
  </si>
  <si>
    <t xml:space="preserve">−10%</t>
  </si>
  <si>
    <t xml:space="preserve">+10%</t>
  </si>
  <si>
    <t xml:space="preserve">+20%</t>
  </si>
  <si>
    <t xml:space="preserve">Tariff escalation rate</t>
  </si>
  <si>
    <t xml:space="preserve">Solar irradiance</t>
  </si>
  <si>
    <t xml:space="preserve">BESS CAPEX</t>
  </si>
  <si>
    <t xml:space="preserve">Grid carbon factor</t>
  </si>
  <si>
    <t xml:space="preserve">CAPEX solar</t>
  </si>
  <si>
    <t xml:space="preserve">Annual O&amp;M rate</t>
  </si>
  <si>
    <t xml:space="preserve">PHASE D — DEPLOYMENT &amp; COMMISSIONING TRACKER</t>
  </si>
  <si>
    <t xml:space="preserve">Solar MW</t>
  </si>
  <si>
    <t xml:space="preserve">BESS MWh</t>
  </si>
  <si>
    <t xml:space="preserve">Target Start</t>
  </si>
  <si>
    <t xml:space="preserve">Target Complete</t>
  </si>
  <si>
    <t xml:space="preserve">Actual Start</t>
  </si>
  <si>
    <t xml:space="preserve">Actual Complete</t>
  </si>
  <si>
    <t xml:space="preserve">Status</t>
  </si>
  <si>
    <t xml:space="preserve">% Complete</t>
  </si>
  <si>
    <t xml:space="preserve">Variance (days)</t>
  </si>
  <si>
    <t xml:space="preserve">Mar-26</t>
  </si>
  <si>
    <t xml:space="preserve">Sep-26</t>
  </si>
  <si>
    <t xml:space="preserve">In Progress</t>
  </si>
  <si>
    <t xml:space="preserve">May-26</t>
  </si>
  <si>
    <t xml:space="preserve">Nov-26</t>
  </si>
  <si>
    <t xml:space="preserve">Planned</t>
  </si>
  <si>
    <t xml:space="preserve">Jul-26</t>
  </si>
  <si>
    <t xml:space="preserve">Jan-27</t>
  </si>
  <si>
    <t xml:space="preserve">Mar-27</t>
  </si>
  <si>
    <t xml:space="preserve">May-27</t>
  </si>
  <si>
    <t xml:space="preserve">Jun-27</t>
  </si>
  <si>
    <t xml:space="preserve">Jul-27</t>
  </si>
  <si>
    <t xml:space="preserve">COMMISSIONING CHECKLIST — IEEE 1547 / NFPA 855 / SLDC Requirements</t>
  </si>
  <si>
    <t xml:space="preserve">Commissioning Test</t>
  </si>
  <si>
    <t xml:space="preserve">Standard</t>
  </si>
  <si>
    <t xml:space="preserve">Site: Hyderabad</t>
  </si>
  <si>
    <t xml:space="preserve">Site: Chennai</t>
  </si>
  <si>
    <t xml:space="preserve">Site: Delhi</t>
  </si>
  <si>
    <t xml:space="preserve">Notes</t>
  </si>
  <si>
    <t xml:space="preserve">Anti-islanding relay test</t>
  </si>
  <si>
    <t xml:space="preserve">IEEE 1547</t>
  </si>
  <si>
    <t xml:space="preserve">PASS</t>
  </si>
  <si>
    <t xml:space="preserve">Pending</t>
  </si>
  <si>
    <t xml:space="preserve">Grid disconnect under 0.16s</t>
  </si>
  <si>
    <t xml:space="preserve">UPS transfer test under live load</t>
  </si>
  <si>
    <t xml:space="preserve">IEC 62040</t>
  </si>
  <si>
    <t xml:space="preserve">Zero transfer time verified</t>
  </si>
  <si>
    <t xml:space="preserve">BESS thermal runaway protection</t>
  </si>
  <si>
    <t xml:space="preserve">NFPA 855</t>
  </si>
  <si>
    <t xml:space="preserve">Gas suppression active</t>
  </si>
  <si>
    <t xml:space="preserve">SCADA / EMS integration test</t>
  </si>
  <si>
    <t xml:space="preserve">Site SOP</t>
  </si>
  <si>
    <t xml:space="preserve">Solar + BESS on unified dashboard</t>
  </si>
  <si>
    <t xml:space="preserve">SLDC scheduling registration</t>
  </si>
  <si>
    <t xml:space="preserve">IEGC</t>
  </si>
  <si>
    <t xml:space="preserve">Done</t>
  </si>
  <si>
    <t xml:space="preserve">DISCOM NOC received</t>
  </si>
  <si>
    <t xml:space="preserve">Grid power quality (PCC THD)</t>
  </si>
  <si>
    <t xml:space="preserve">IEEE 519</t>
  </si>
  <si>
    <t xml:space="preserve">THD V &lt;5%, THD I &lt;15%</t>
  </si>
  <si>
    <t xml:space="preserve">Load flow test (full IT load)</t>
  </si>
  <si>
    <t xml:space="preserve">100% IT load on solar+BESS</t>
  </si>
  <si>
    <t xml:space="preserve">Staff retraining completion</t>
  </si>
  <si>
    <t xml:space="preserve">8 hr hybrid power management</t>
  </si>
  <si>
    <t xml:space="preserve">PHASE 7 — OPERATIONALISATION &amp; CONTINUOUS OPTIMISATION  |  Monthly EMS Dashboard</t>
  </si>
  <si>
    <t xml:space="preserve">Monthly actuals vs. plan · BESS SOH · Carbon audit · RE100 I-REC verification  ·  Standards: ISO 50001 · BRSR · GHG Protocol</t>
  </si>
  <si>
    <t xml:space="preserve">7.1  MONTHLY ACTUALS VS. PLAN — Chennai Campus (2026)</t>
  </si>
  <si>
    <t xml:space="preserve">Solar Gen Plan (MWh)</t>
  </si>
  <si>
    <t xml:space="preserve">Solar Gen Actual (MWh)</t>
  </si>
  <si>
    <t xml:space="preserve">BESS Cycles (count)</t>
  </si>
  <si>
    <t xml:space="preserve">Grid Import MWh</t>
  </si>
  <si>
    <t xml:space="preserve">PUE (actual)</t>
  </si>
  <si>
    <t xml:space="preserve">Tariff Saving ₹ Lakh</t>
  </si>
  <si>
    <t xml:space="preserve">CO₂ Avoided (tCO₂)</t>
  </si>
  <si>
    <t xml:space="preserve">Solar Gen Variance (Actual−Plan) MWh</t>
  </si>
  <si>
    <t xml:space="preserve">7.2  ANNUAL CARBON AUDIT — GHG Protocol Scope 2 + Scope 3</t>
  </si>
  <si>
    <t xml:space="preserve">Carbon Category</t>
  </si>
  <si>
    <t xml:space="preserve">tCO₂e</t>
  </si>
  <si>
    <t xml:space="preserve">Verified?</t>
  </si>
  <si>
    <t xml:space="preserve">Scope 2 — Market-based (operational savings, Chennai)</t>
  </si>
  <si>
    <t xml:space="preserve">Annual RE generation × grid EF</t>
  </si>
  <si>
    <t xml:space="preserve">Yes — I-REC</t>
  </si>
  <si>
    <t xml:space="preserve">Scope 2 — Location-based (grid import)</t>
  </si>
  <si>
    <t xml:space="preserve">Grid import × CEA emission factor</t>
  </si>
  <si>
    <t xml:space="preserve">Scope 3 — Solar module manufacturing</t>
  </si>
  <si>
    <t xml:space="preserve">440 MW × 1,000 tCO₂/MW (mono-PERC)</t>
  </si>
  <si>
    <t xml:space="preserve">Estimated</t>
  </si>
  <si>
    <t xml:space="preserve">Scope 3 — BESS manufacturing (LFP)</t>
  </si>
  <si>
    <t xml:space="preserve">600 MWh × 90 tCO₂/MWh</t>
  </si>
  <si>
    <t xml:space="preserve">Scope 3 — Civil &amp; installation</t>
  </si>
  <si>
    <t xml:space="preserve">EPC estimate</t>
  </si>
  <si>
    <t xml:space="preserve">NET CARBON POSITION (10-yr operational basis)</t>
  </si>
  <si>
    <t xml:space="preserve">Operational savings net of embodied</t>
  </si>
  <si>
    <t xml:space="preserve">REWARD² — PORTFOLIO DASHBOARD  |  Nxtra by Airtel</t>
  </si>
  <si>
    <t xml:space="preserve">Live KPI summary pulling from all phase worksheets  ·  Last updated: February 2026</t>
  </si>
  <si>
    <t xml:space="preserve">Total IT Load</t>
  </si>
  <si>
    <t xml:space="preserve">Solar Pipeline</t>
  </si>
  <si>
    <t xml:space="preserve">BESS Pipeline</t>
  </si>
  <si>
    <t xml:space="preserve">Base NPV</t>
  </si>
  <si>
    <t xml:space="preserve">Payback (Base)</t>
  </si>
  <si>
    <t xml:space="preserve">CO₂ Avoided/yr</t>
  </si>
  <si>
    <t xml:space="preserve">RE% Target</t>
  </si>
  <si>
    <t xml:space="preserve">Total CAPEX</t>
  </si>
  <si>
    <t xml:space="preserve">84 MW</t>
  </si>
  <si>
    <t xml:space="preserve">131 MW</t>
  </si>
  <si>
    <t xml:space="preserve">570 MWh</t>
  </si>
  <si>
    <t xml:space="preserve">₹8,420 Cr</t>
  </si>
  <si>
    <t xml:space="preserve">3.8 yr</t>
  </si>
  <si>
    <t xml:space="preserve">1.69 MT</t>
  </si>
  <si>
    <t xml:space="preserve">₹2,840 Cr</t>
  </si>
  <si>
    <t xml:space="preserve">Portfolio verified</t>
  </si>
  <si>
    <t xml:space="preserve">Phase E confirmed</t>
  </si>
  <si>
    <t xml:space="preserve">Phase W sized</t>
  </si>
  <si>
    <t xml:space="preserve">10-yr Base case</t>
  </si>
  <si>
    <t xml:space="preserve">Phase A model</t>
  </si>
  <si>
    <t xml:space="preserve">Operational savings</t>
  </si>
  <si>
    <t xml:space="preserve">RE100 by 2029</t>
  </si>
  <si>
    <t xml:space="preserve">Phase A estimate</t>
  </si>
  <si>
    <t xml:space="preserve">REWARD² FRAMEWORK SCORECARD</t>
  </si>
  <si>
    <t xml:space="preserve">Dimension</t>
  </si>
  <si>
    <t xml:space="preserve">Score</t>
  </si>
  <si>
    <t xml:space="preserve">Original</t>
  </si>
  <si>
    <t xml:space="preserve">Priority</t>
  </si>
  <si>
    <t xml:space="preserve">Load Baseline Accuracy</t>
  </si>
  <si>
    <t xml:space="preserve">A</t>
  </si>
  <si>
    <t xml:space="preserve">15-min AMI verified</t>
  </si>
  <si>
    <t xml:space="preserve">ISO 50001</t>
  </si>
  <si>
    <t xml:space="preserve">✓ Complete</t>
  </si>
  <si>
    <t xml:space="preserve">Solar (on-site)</t>
  </si>
  <si>
    <t xml:space="preserve">Technology Validation</t>
  </si>
  <si>
    <t xml:space="preserve">A-</t>
  </si>
  <si>
    <t xml:space="preserve">Site-specific gated</t>
  </si>
  <si>
    <t xml:space="preserve">Solargis TMY</t>
  </si>
  <si>
    <t xml:space="preserve">Wind (ISTS)</t>
  </si>
  <si>
    <t xml:space="preserve">BESS Sizing Rigour</t>
  </si>
  <si>
    <t xml:space="preserve">Missing</t>
  </si>
  <si>
    <t xml:space="preserve">Simulation-based</t>
  </si>
  <si>
    <t xml:space="preserve">HOMER/IEC</t>
  </si>
  <si>
    <t xml:space="preserve">BESS Dispatch</t>
  </si>
  <si>
    <t xml:space="preserve">Financial Modelling</t>
  </si>
  <si>
    <t xml:space="preserve">3-scenario + sensitivity</t>
  </si>
  <si>
    <t xml:space="preserve">GHG Protocol</t>
  </si>
  <si>
    <t xml:space="preserve">Grid (residual)</t>
  </si>
  <si>
    <t xml:space="preserve">Grid Interconnection</t>
  </si>
  <si>
    <t xml:space="preserve">B+</t>
  </si>
  <si>
    <t xml:space="preserve">Weak</t>
  </si>
  <si>
    <t xml:space="preserve">Grid physics addressed</t>
  </si>
  <si>
    <t xml:space="preserve">⚠ Monitor</t>
  </si>
  <si>
    <t xml:space="preserve">Green H₂ (future)</t>
  </si>
  <si>
    <t xml:space="preserve">Power Quality</t>
  </si>
  <si>
    <t xml:space="preserve">IEEE 519 protocol</t>
  </si>
  <si>
    <t xml:space="preserve">Carbon Accounting</t>
  </si>
  <si>
    <t xml:space="preserve">GHG Protocol Sc2+3</t>
  </si>
  <si>
    <t xml:space="preserve">BRSR/TCFD</t>
  </si>
  <si>
    <t xml:space="preserve">Operational Readiness</t>
  </si>
  <si>
    <t xml:space="preserve">Phase 7 added</t>
  </si>
  <si>
    <t xml:space="preserve">Regulatory Depth</t>
  </si>
  <si>
    <t xml:space="preserve">Good</t>
  </si>
  <si>
    <t xml:space="preserve">CERC ancillary added</t>
  </si>
  <si>
    <t xml:space="preserve">CERC/IEGC</t>
  </si>
  <si>
    <t xml:space="preserve">Standards Alignment</t>
  </si>
  <si>
    <t xml:space="preserve">7 standards referenced</t>
  </si>
  <si>
    <t xml:space="preserve">Multiple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</si>
</sst>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"/>
    <numFmt numFmtId="167" formatCode="0"/>
    <numFmt numFmtId="168" formatCode="#,##0"/>
    <numFmt numFmtId="169" formatCode="0.0%"/>
    <numFmt numFmtId="170" formatCode="0.00"/>
    <numFmt numFmtId="171" formatCode="0.000"/>
    <numFmt numFmtId="172" formatCode="0.0\C"/>
    <numFmt numFmtId="173" formatCode="0%"/>
    <numFmt numFmtId="174" formatCode="\+#,##0;\-#,##0;\-"/>
    <numFmt numFmtId="175" formatCode="#,##0;\(#,##0\)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CCFFEE"/>
      <name val="Arial"/>
      <family val="0"/>
      <charset val="1"/>
    </font>
    <font>
      <b val="true"/>
      <sz val="11"/>
      <color rgb="FF006B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374151"/>
      <name val="Arial"/>
      <family val="0"/>
      <charset val="1"/>
    </font>
    <font>
      <b val="true"/>
      <sz val="10"/>
      <color rgb="FF006B44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FFFF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color rgb="FF1D4ED8"/>
      <name val="Arial"/>
      <family val="0"/>
      <charset val="1"/>
    </font>
    <font>
      <sz val="9.5"/>
      <color rgb="FF000000"/>
      <name val="Arial"/>
      <family val="0"/>
      <charset val="1"/>
    </font>
    <font>
      <sz val="9.5"/>
      <color rgb="FF6B7280"/>
      <name val="Arial"/>
      <family val="0"/>
      <charset val="1"/>
    </font>
    <font>
      <b val="true"/>
      <sz val="9.5"/>
      <color rgb="FF008000"/>
      <name val="Arial"/>
      <family val="0"/>
      <charset val="1"/>
    </font>
    <font>
      <b val="true"/>
      <sz val="9.5"/>
      <color rgb="FFB45309"/>
      <name val="Arial"/>
      <family val="0"/>
      <charset val="1"/>
    </font>
    <font>
      <b val="true"/>
      <sz val="9.5"/>
      <color rgb="FFDC2626"/>
      <name val="Arial"/>
      <family val="0"/>
      <charset val="1"/>
    </font>
    <font>
      <sz val="9.5"/>
      <color rgb="FF008000"/>
      <name val="Arial"/>
      <family val="0"/>
      <charset val="1"/>
    </font>
    <font>
      <sz val="9.5"/>
      <color rgb="FFB45309"/>
      <name val="Arial"/>
      <family val="0"/>
      <charset val="1"/>
    </font>
    <font>
      <sz val="9.5"/>
      <color rgb="FFDC2626"/>
      <name val="Arial"/>
      <family val="0"/>
      <charset val="1"/>
    </font>
    <font>
      <sz val="9.5"/>
      <color rgb="FF111827"/>
      <name val="Arial"/>
      <family val="0"/>
      <charset val="1"/>
    </font>
    <font>
      <b val="true"/>
      <sz val="9.5"/>
      <color rgb="FF11182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D4ED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9.5"/>
      <color rgb="FF006B44"/>
      <name val="Arial"/>
      <family val="0"/>
      <charset val="1"/>
    </font>
    <font>
      <b val="true"/>
      <sz val="9.5"/>
      <color rgb="FF006B44"/>
      <name val="Arial"/>
      <family val="0"/>
      <charset val="1"/>
    </font>
    <font>
      <b val="true"/>
      <sz val="9.5"/>
      <color rgb="FFC2410C"/>
      <name val="Arial"/>
      <family val="0"/>
      <charset val="1"/>
    </font>
    <font>
      <b val="true"/>
      <sz val="9.5"/>
      <color rgb="FF9CA3AF"/>
      <name val="Arial"/>
      <family val="0"/>
      <charset val="1"/>
    </font>
    <font>
      <b val="true"/>
      <sz val="9.5"/>
      <color rgb="FF6B728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8C5A"/>
      <name val="Arial"/>
      <family val="0"/>
      <charset val="1"/>
    </font>
    <font>
      <b val="true"/>
      <sz val="18"/>
      <color rgb="FF0D7377"/>
      <name val="Arial"/>
      <family val="0"/>
      <charset val="1"/>
    </font>
    <font>
      <b val="true"/>
      <sz val="18"/>
      <color rgb="FF1D4ED8"/>
      <name val="Arial"/>
      <family val="0"/>
      <charset val="1"/>
    </font>
    <font>
      <b val="true"/>
      <sz val="18"/>
      <color rgb="FFB45309"/>
      <name val="Arial"/>
      <family val="0"/>
      <charset val="1"/>
    </font>
    <font>
      <b val="true"/>
      <sz val="18"/>
      <color rgb="FFC2410C"/>
      <name val="Arial"/>
      <family val="0"/>
      <charset val="1"/>
    </font>
    <font>
      <b val="true"/>
      <sz val="18"/>
      <color rgb="FF6D28D9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06B44"/>
        <bgColor rgb="FF0D7377"/>
      </patternFill>
    </fill>
    <fill>
      <patternFill patternType="solid">
        <fgColor rgb="FF008D5A"/>
        <bgColor rgb="FF0D7377"/>
      </patternFill>
    </fill>
    <fill>
      <patternFill patternType="solid">
        <fgColor rgb="FFF7F9FC"/>
        <bgColor rgb="FFF9F9F9"/>
      </patternFill>
    </fill>
    <fill>
      <patternFill patternType="solid">
        <fgColor rgb="FF0D7377"/>
        <bgColor rgb="FF006B44"/>
      </patternFill>
    </fill>
    <fill>
      <patternFill patternType="solid">
        <fgColor rgb="FF1D4ED8"/>
        <bgColor rgb="FF3B7DA5"/>
      </patternFill>
    </fill>
    <fill>
      <patternFill patternType="solid">
        <fgColor rgb="FFB45309"/>
        <bgColor rgb="FFC2410C"/>
      </patternFill>
    </fill>
    <fill>
      <patternFill patternType="solid">
        <fgColor rgb="FF6D28D9"/>
        <bgColor rgb="FF6F558D"/>
      </patternFill>
    </fill>
    <fill>
      <patternFill patternType="solid">
        <fgColor rgb="FFC2410C"/>
        <bgColor rgb="FFB45309"/>
      </patternFill>
    </fill>
    <fill>
      <patternFill patternType="solid">
        <fgColor rgb="FFFFFFFF"/>
        <bgColor rgb="FFF9F9F9"/>
      </patternFill>
    </fill>
    <fill>
      <patternFill patternType="solid">
        <fgColor rgb="FFF0FFF0"/>
        <bgColor rgb="FFF7F9FC"/>
      </patternFill>
    </fill>
    <fill>
      <patternFill patternType="solid">
        <fgColor rgb="FFFFFF00"/>
        <bgColor rgb="FFFEF3C7"/>
      </patternFill>
    </fill>
    <fill>
      <patternFill patternType="solid">
        <fgColor rgb="FFFEF3C7"/>
        <bgColor rgb="FFFEF2F2"/>
      </patternFill>
    </fill>
    <fill>
      <patternFill patternType="solid">
        <fgColor rgb="FFFEF2F2"/>
        <bgColor rgb="FFF9F9F9"/>
      </patternFill>
    </fill>
    <fill>
      <patternFill patternType="solid">
        <fgColor rgb="FFE6F4EE"/>
        <bgColor rgb="FFEEF2FF"/>
      </patternFill>
    </fill>
    <fill>
      <patternFill patternType="solid">
        <fgColor rgb="FFEEF2FF"/>
        <bgColor rgb="FFE6F4EE"/>
      </patternFill>
    </fill>
    <fill>
      <patternFill patternType="solid">
        <fgColor rgb="FFF5A623"/>
        <bgColor rgb="FFE5883B"/>
      </patternFill>
    </fill>
    <fill>
      <patternFill patternType="solid">
        <fgColor rgb="FF9CA3AF"/>
        <bgColor rgb="FFA99BBD"/>
      </patternFill>
    </fill>
    <fill>
      <patternFill patternType="solid">
        <fgColor rgb="FF008000"/>
        <bgColor rgb="FF006B4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E3EE"/>
      </left>
      <right/>
      <top style="thin">
        <color rgb="FFDDE3EE"/>
      </top>
      <bottom style="thin">
        <color rgb="FFDDE3EE"/>
      </bottom>
      <diagonal/>
    </border>
    <border diagonalUp="false" diagonalDown="false"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  <border diagonalUp="false" diagonalDown="false">
      <left style="medium">
        <color rgb="FFDDE3EE"/>
      </left>
      <right style="medium">
        <color rgb="FFDDE3EE"/>
      </right>
      <top style="medium">
        <color rgb="FFDDE3E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4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8AA64F"/>
      <rgbColor rgb="FF0000FF"/>
      <rgbColor rgb="FFFFFF00"/>
      <rgbColor rgb="FFD09493"/>
      <rgbColor rgb="FF7997C4"/>
      <rgbColor rgb="FFB45309"/>
      <rgbColor rgb="FF008000"/>
      <rgbColor rgb="FFF7F9FC"/>
      <rgbColor rgb="FF789142"/>
      <rgbColor rgb="FFC77978"/>
      <rgbColor rgb="FF0D7377"/>
      <rgbColor rgb="FFBDB4CB"/>
      <rgbColor rgb="FF878787"/>
      <rgbColor rgb="FFA99BBD"/>
      <rgbColor rgb="FFAB4744"/>
      <rgbColor rgb="FFFEF3C7"/>
      <rgbColor rgb="FFCCFFEE"/>
      <rgbColor rgb="FFB8CD97"/>
      <rgbColor rgb="FFE5883B"/>
      <rgbColor rgb="FF1D4ED8"/>
      <rgbColor rgb="FFD9D9D9"/>
      <rgbColor rgb="FFF9F9F9"/>
      <rgbColor rgb="FFDDE3EE"/>
      <rgbColor rgb="FFC7D6B1"/>
      <rgbColor rgb="FFA9C37E"/>
      <rgbColor rgb="FF9684AF"/>
      <rgbColor rgb="FFC07332"/>
      <rgbColor rgb="FF008D5A"/>
      <rgbColor rgb="FFEEF2FF"/>
      <rgbColor rgb="FF3B7DA5"/>
      <rgbColor rgb="FFE6F4EE"/>
      <rgbColor rgb="FFF0FFF0"/>
      <rgbColor rgb="FFFEF2F2"/>
      <rgbColor rgb="FFB0CFDC"/>
      <rgbColor rgb="FFD9B0B0"/>
      <rgbColor rgb="FFB0BED7"/>
      <rgbColor rgb="FFF6C4AE"/>
      <rgbColor rgb="FF4F81BD"/>
      <rgbColor rgb="FF8AADCE"/>
      <rgbColor rgb="FF8EAD4F"/>
      <rgbColor rgb="FFF5A574"/>
      <rgbColor rgb="FFF5A623"/>
      <rgbColor rgb="FFDC853E"/>
      <rgbColor rgb="FF6B7280"/>
      <rgbColor rgb="FF9CA3AF"/>
      <rgbColor rgb="FF006B44"/>
      <rgbColor rgb="FF429BB2"/>
      <rgbColor rgb="FF111827"/>
      <rgbColor rgb="FF6F558D"/>
      <rgbColor rgb="FFC2410C"/>
      <rgbColor rgb="FFB24543"/>
      <rgbColor rgb="FF6D28D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Load Profile — Chennai Campus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"IT Load"</c:f>
              <c:strCache>
                <c:ptCount val="1"/>
                <c:pt idx="0">
                  <c:v>IT Load</c:v>
                </c:pt>
              </c:strCache>
            </c:strRef>
          </c:tx>
          <c:spPr>
            <a:solidFill>
              <a:srgbClr val="008c5a"/>
            </a:solidFill>
            <a:ln w="47520">
              <a:solidFill>
                <a:srgbClr val="008c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P1_Baseline!$C$17:$N$17</c:f>
              <c:multiLvlStrCache>
                <c:ptCount val="1"/>
                <c:lvl/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P1_Baseline!$C$18:$N$18</c:f>
              <c:numCache>
                <c:formatCode>0.0</c:formatCode>
                <c:ptCount val="12"/>
                <c:pt idx="0">
                  <c:v>12.2</c:v>
                </c:pt>
                <c:pt idx="1">
                  <c:v>12.1</c:v>
                </c:pt>
                <c:pt idx="2">
                  <c:v>12.5</c:v>
                </c:pt>
                <c:pt idx="3">
                  <c:v>12.8</c:v>
                </c:pt>
                <c:pt idx="4">
                  <c:v>13</c:v>
                </c:pt>
                <c:pt idx="5">
                  <c:v>13.2</c:v>
                </c:pt>
                <c:pt idx="6">
                  <c:v>13.5</c:v>
                </c:pt>
                <c:pt idx="7">
                  <c:v>13.4</c:v>
                </c:pt>
                <c:pt idx="8">
                  <c:v>13.2</c:v>
                </c:pt>
                <c:pt idx="9">
                  <c:v>12.9</c:v>
                </c:pt>
                <c:pt idx="10">
                  <c:v>12.6</c:v>
                </c:pt>
                <c:pt idx="11">
                  <c:v>12.3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"Mech Load"</c:f>
              <c:strCache>
                <c:ptCount val="1"/>
                <c:pt idx="0">
                  <c:v>Mech Load</c:v>
                </c:pt>
              </c:strCache>
            </c:strRef>
          </c:tx>
          <c:spPr>
            <a:solidFill>
              <a:srgbClr val="0d7377"/>
            </a:solidFill>
            <a:ln w="47520">
              <a:solidFill>
                <a:srgbClr val="0d737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P1_Baseline!$C$17:$N$17</c:f>
              <c:multiLvlStrCache>
                <c:ptCount val="1"/>
                <c:lvl/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P1_Baseline!$C$19:$N$19</c:f>
              <c:numCache>
                <c:formatCode>0.0</c:formatCode>
                <c:ptCount val="12"/>
                <c:pt idx="0">
                  <c:v>4.8</c:v>
                </c:pt>
                <c:pt idx="1">
                  <c:v>4.6</c:v>
                </c:pt>
                <c:pt idx="2">
                  <c:v>5</c:v>
                </c:pt>
                <c:pt idx="3">
                  <c:v>5.4</c:v>
                </c:pt>
                <c:pt idx="4">
                  <c:v>5.8</c:v>
                </c:pt>
                <c:pt idx="5">
                  <c:v>5.9</c:v>
                </c:pt>
                <c:pt idx="6">
                  <c:v>5.7</c:v>
                </c:pt>
                <c:pt idx="7">
                  <c:v>5.6</c:v>
                </c:pt>
                <c:pt idx="8">
                  <c:v>5.2</c:v>
                </c:pt>
                <c:pt idx="9">
                  <c:v>5</c:v>
                </c:pt>
                <c:pt idx="10">
                  <c:v>4.9</c:v>
                </c:pt>
                <c:pt idx="11">
                  <c:v>4.8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"Total Load"</c:f>
              <c:strCache>
                <c:ptCount val="1"/>
                <c:pt idx="0">
                  <c:v>Total Load</c:v>
                </c:pt>
              </c:strCache>
            </c:strRef>
          </c:tx>
          <c:spPr>
            <a:solidFill>
              <a:srgbClr val="00cc88"/>
            </a:solidFill>
            <a:ln w="47520">
              <a:solidFill>
                <a:srgbClr val="00cc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P1_Baseline!$C$17:$N$17</c:f>
              <c:multiLvlStrCache>
                <c:ptCount val="1"/>
                <c:lvl/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P1_Baseline!$C$20:$N$20</c:f>
              <c:numCache>
                <c:formatCode>0.0</c:formatCode>
                <c:ptCount val="12"/>
                <c:pt idx="0">
                  <c:v>17</c:v>
                </c:pt>
                <c:pt idx="1">
                  <c:v>16.7</c:v>
                </c:pt>
                <c:pt idx="2">
                  <c:v>17.5</c:v>
                </c:pt>
                <c:pt idx="3">
                  <c:v>18.2</c:v>
                </c:pt>
                <c:pt idx="4">
                  <c:v>18.8</c:v>
                </c:pt>
                <c:pt idx="5">
                  <c:v>19.1</c:v>
                </c:pt>
                <c:pt idx="6">
                  <c:v>19.2</c:v>
                </c:pt>
                <c:pt idx="7">
                  <c:v>19</c:v>
                </c:pt>
                <c:pt idx="8">
                  <c:v>18.4</c:v>
                </c:pt>
                <c:pt idx="9">
                  <c:v>17.9</c:v>
                </c:pt>
                <c:pt idx="10">
                  <c:v>17.5</c:v>
                </c:pt>
                <c:pt idx="11">
                  <c:v>17.1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"Peak"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rgbClr val="b45309"/>
            </a:solidFill>
            <a:ln w="47520">
              <a:solidFill>
                <a:srgbClr val="b4530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P1_Baseline!$C$17:$N$17</c:f>
              <c:multiLvlStrCache>
                <c:ptCount val="1"/>
                <c:lvl/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P1_Baseline!$C$22:$N$22</c:f>
              <c:numCache>
                <c:formatCode>0.0</c:formatCode>
                <c:ptCount val="12"/>
                <c:pt idx="0">
                  <c:v>17.8</c:v>
                </c:pt>
                <c:pt idx="1">
                  <c:v>17.5</c:v>
                </c:pt>
                <c:pt idx="2">
                  <c:v>18</c:v>
                </c:pt>
                <c:pt idx="3">
                  <c:v>18.6</c:v>
                </c:pt>
                <c:pt idx="4">
                  <c:v>19.2</c:v>
                </c:pt>
                <c:pt idx="5">
                  <c:v>19.5</c:v>
                </c:pt>
                <c:pt idx="6">
                  <c:v>19.8</c:v>
                </c:pt>
                <c:pt idx="7">
                  <c:v>19.6</c:v>
                </c:pt>
                <c:pt idx="8">
                  <c:v>18.8</c:v>
                </c:pt>
                <c:pt idx="9">
                  <c:v>18.2</c:v>
                </c:pt>
                <c:pt idx="10">
                  <c:v>17.8</c:v>
                </c:pt>
                <c:pt idx="11">
                  <c:v>17.5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347247"/>
        <c:axId val="45433850"/>
      </c:lineChart>
      <c:catAx>
        <c:axId val="903472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33850"/>
        <c:crosses val="autoZero"/>
        <c:auto val="1"/>
        <c:lblAlgn val="ctr"/>
        <c:lblOffset val="100"/>
        <c:noMultiLvlLbl val="0"/>
      </c:catAx>
      <c:valAx>
        <c:axId val="45433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47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RE Capacity by Site (MW) — Solar +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P2_Resources!I5</c:f>
              <c:strCache>
                <c:ptCount val="1"/>
                <c:pt idx="0">
                  <c:v>Capacity MW (est.)</c:v>
                </c:pt>
              </c:strCache>
            </c:strRef>
          </c:tx>
          <c:spPr>
            <a:solidFill>
              <a:srgbClr val="008c5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P2_Resources!$B$6:$B$12</c:f>
              <c:strCache>
                <c:ptCount val="7"/>
                <c:pt idx="0">
                  <c:v>Chennai Campus</c:v>
                </c:pt>
                <c:pt idx="1">
                  <c:v>Mumbai DC-1</c:v>
                </c:pt>
                <c:pt idx="2">
                  <c:v>Delhi DC-2</c:v>
                </c:pt>
                <c:pt idx="3">
                  <c:v>Hyderabad New</c:v>
                </c:pt>
                <c:pt idx="4">
                  <c:v>Bengaluru HQ</c:v>
                </c:pt>
                <c:pt idx="5">
                  <c:v>Kolkata Edge Hub</c:v>
                </c:pt>
                <c:pt idx="6">
                  <c:v>Pune Edge</c:v>
                </c:pt>
              </c:strCache>
            </c:strRef>
          </c:cat>
          <c:val>
            <c:numRef>
              <c:f>P2_Resources!$I$6:$I$12</c:f>
              <c:numCache>
                <c:formatCode>0.0</c:formatCode>
                <c:ptCount val="7"/>
                <c:pt idx="0">
                  <c:v>13110</c:v>
                </c:pt>
                <c:pt idx="1">
                  <c:v>8370</c:v>
                </c:pt>
                <c:pt idx="2">
                  <c:v>10647</c:v>
                </c:pt>
                <c:pt idx="3">
                  <c:v>15345</c:v>
                </c:pt>
                <c:pt idx="4">
                  <c:v>7342.5</c:v>
                </c:pt>
                <c:pt idx="5">
                  <c:v>3570</c:v>
                </c:pt>
                <c:pt idx="6">
                  <c:v>2484</c:v>
                </c:pt>
              </c:numCache>
            </c:numRef>
          </c:val>
        </c:ser>
        <c:gapWidth val="150"/>
        <c:overlap val="0"/>
        <c:axId val="82417367"/>
        <c:axId val="33246635"/>
      </c:barChart>
      <c:catAx>
        <c:axId val="824173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Campus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46635"/>
        <c:crosses val="autoZero"/>
        <c:auto val="1"/>
        <c:lblAlgn val="ctr"/>
        <c:lblOffset val="100"/>
        <c:noMultiLvlLbl val="0"/>
      </c:catAx>
      <c:valAx>
        <c:axId val="33246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17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BESS State of Health (SOH) — 10-Year Degradation (LFP)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"SOH (LFP 0.5C)"</c:f>
              <c:strCache>
                <c:ptCount val="1"/>
                <c:pt idx="0">
                  <c:v>SOH (LFP 0.5C)</c:v>
                </c:pt>
              </c:strCache>
            </c:strRef>
          </c:tx>
          <c:spPr>
            <a:solidFill>
              <a:srgbClr val="1d4ed8"/>
            </a:solidFill>
            <a:ln w="47520">
              <a:solidFill>
                <a:srgbClr val="1d4e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P3_Simulation!$C$17:$N$17</c:f>
              <c:multiLvlStrCache>
                <c:ptCount val="1"/>
                <c:lvl/>
                <c:lvl/>
                <c:lvl>
                  <c:pt idx="0">
                    <c:v>Yr 9</c:v>
                  </c:pt>
                </c:lvl>
                <c:lvl>
                  <c:pt idx="0">
                    <c:v>Yr 8</c:v>
                  </c:pt>
                </c:lvl>
                <c:lvl>
                  <c:pt idx="0">
                    <c:v>Yr 7</c:v>
                  </c:pt>
                </c:lvl>
                <c:lvl>
                  <c:pt idx="0">
                    <c:v>Yr 6</c:v>
                  </c:pt>
                </c:lvl>
                <c:lvl>
                  <c:pt idx="0">
                    <c:v>Yr 5</c:v>
                  </c:pt>
                </c:lvl>
                <c:lvl>
                  <c:pt idx="0">
                    <c:v>Yr 4</c:v>
                  </c:pt>
                </c:lvl>
                <c:lvl>
                  <c:pt idx="0">
                    <c:v>Yr 3</c:v>
                  </c:pt>
                </c:lvl>
                <c:lvl>
                  <c:pt idx="0">
                    <c:v>Yr 2</c:v>
                  </c:pt>
                </c:lvl>
                <c:lvl>
                  <c:pt idx="0">
                    <c:v>Yr 1</c:v>
                  </c:pt>
                </c:lvl>
                <c:lvl>
                  <c:pt idx="0">
                    <c:v>Yr 0</c:v>
                  </c:pt>
                </c:lvl>
              </c:multiLvlStrCache>
            </c:multiLvlStrRef>
          </c:cat>
          <c:val>
            <c:numRef>
              <c:f>P3_Simulation!$C$18:$N$18</c:f>
              <c:numCache>
                <c:formatCode>0.0%</c:formatCode>
                <c:ptCount val="12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0.93</c:v>
                </c:pt>
                <c:pt idx="7">
                  <c:v>0.91</c:v>
                </c:pt>
                <c:pt idx="8">
                  <c:v>0.89</c:v>
                </c:pt>
                <c:pt idx="9">
                  <c:v>0.87</c:v>
                </c:pt>
                <c:pt idx="10">
                  <c:v>0.85</c:v>
                </c:pt>
                <c:pt idx="11">
                  <c:v>0.83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154173"/>
        <c:axId val="80180290"/>
      </c:lineChart>
      <c:catAx>
        <c:axId val="29154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80290"/>
        <c:crosses val="autoZero"/>
        <c:auto val="1"/>
        <c:lblAlgn val="ctr"/>
        <c:lblOffset val="100"/>
        <c:noMultiLvlLbl val="0"/>
      </c:catAx>
      <c:valAx>
        <c:axId val="80180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54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10-Year Cumulative NPV — Base Case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8c5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P4_Economics!$C$27</c:f>
              <c:numCache>
                <c:formatCode>#,##0.0</c:formatCode>
                <c:ptCount val="1"/>
                <c:pt idx="0">
                  <c:v>-2839.77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P4_Economics!$D$27</c:f>
              <c:numCache>
                <c:formatCode>#,##0.0</c:formatCode>
                <c:ptCount val="1"/>
                <c:pt idx="0">
                  <c:v>-2839.48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P4_Economics!$E$27</c:f>
              <c:numCache>
                <c:formatCode>#,##0.0</c:formatCode>
                <c:ptCount val="1"/>
                <c:pt idx="0">
                  <c:v>-2839.16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P4_Economics!$F$27</c:f>
              <c:numCache>
                <c:formatCode>#,##0.0</c:formatCode>
                <c:ptCount val="1"/>
                <c:pt idx="0">
                  <c:v>-2838.8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P4_Economics!$G$27</c:f>
              <c:numCache>
                <c:formatCode>#,##0.0</c:formatCode>
                <c:ptCount val="1"/>
                <c:pt idx="0">
                  <c:v>-2838.42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P4_Economics!$H$27</c:f>
              <c:numCache>
                <c:formatCode>#,##0.0</c:formatCode>
                <c:ptCount val="1"/>
                <c:pt idx="0">
                  <c:v>-2838.01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P4_Economics!$I$27</c:f>
              <c:numCache>
                <c:formatCode>#,##0.0</c:formatCode>
                <c:ptCount val="1"/>
                <c:pt idx="0">
                  <c:v>-2837.58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P4_Economics!$J$27</c:f>
              <c:numCache>
                <c:formatCode>#,##0.0</c:formatCode>
                <c:ptCount val="1"/>
                <c:pt idx="0">
                  <c:v>-2837.13</c:v>
                </c:pt>
              </c:numCache>
            </c:numRef>
          </c:val>
        </c:ser>
        <c:ser>
          <c:idx val="8"/>
          <c:order val="8"/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P4_Economics!$K$27</c:f>
              <c:numCache>
                <c:formatCode>#,##0.0</c:formatCode>
                <c:ptCount val="1"/>
                <c:pt idx="0">
                  <c:v>-2836.67</c:v>
                </c:pt>
              </c:numCache>
            </c:numRef>
          </c:val>
        </c:ser>
        <c:ser>
          <c:idx val="9"/>
          <c:order val="9"/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P4_Economics!$C$21:$L$21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P4_Economics!$L$27</c:f>
              <c:numCache>
                <c:formatCode>#,##0.0</c:formatCode>
                <c:ptCount val="1"/>
                <c:pt idx="0">
                  <c:v>-2836.19</c:v>
                </c:pt>
              </c:numCache>
            </c:numRef>
          </c:val>
        </c:ser>
        <c:gapWidth val="150"/>
        <c:overlap val="0"/>
        <c:axId val="75543706"/>
        <c:axId val="20559688"/>
      </c:barChart>
      <c:catAx>
        <c:axId val="75543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59688"/>
        <c:crosses val="autoZero"/>
        <c:auto val="1"/>
        <c:lblAlgn val="ctr"/>
        <c:lblOffset val="100"/>
        <c:noMultiLvlLbl val="0"/>
      </c:catAx>
      <c:valAx>
        <c:axId val="20559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437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Solar Generation — Actual vs. Plan (Chennai)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ca3af"/>
            </a:solidFill>
            <a:ln w="47520">
              <a:solidFill>
                <a:srgbClr val="9ca3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P7_Operations!$C$6</c:f>
              <c:numCache>
                <c:formatCode>#,##0</c:formatCode>
                <c:ptCount val="1"/>
                <c:pt idx="0">
                  <c:v>4850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008c5a"/>
            </a:solidFill>
            <a:ln w="47520">
              <a:solidFill>
                <a:srgbClr val="008c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P7_Operations!$D$6</c:f>
              <c:numCache>
                <c:formatCode>#,##0</c:formatCode>
                <c:ptCount val="1"/>
                <c:pt idx="0">
                  <c:v>4380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P7_Operations!$E$6</c:f>
              <c:numCache>
                <c:formatCode>#,##0</c:formatCode>
                <c:ptCount val="1"/>
                <c:pt idx="0">
                  <c:v>5120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24b7d"/>
            </a:solidFill>
            <a:ln w="4752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P7_Operations!$F$6</c:f>
              <c:numCache>
                <c:formatCode>#,##0</c:formatCode>
                <c:ptCount val="1"/>
                <c:pt idx="0">
                  <c:v>5280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7859a"/>
            </a:solidFill>
            <a:ln w="4752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P7_Operations!$G$6</c:f>
              <c:numCache>
                <c:formatCode>#,##0</c:formatCode>
                <c:ptCount val="1"/>
                <c:pt idx="0">
                  <c:v>5350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07332"/>
            </a:solidFill>
            <a:ln w="4752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P7_Operations!$H$6</c:f>
              <c:numCache>
                <c:formatCode>#,##0</c:formatCode>
                <c:ptCount val="1"/>
                <c:pt idx="0">
                  <c:v>5100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475b0"/>
            </a:solidFill>
            <a:ln w="4752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P7_Operations!$I$6</c:f>
              <c:numCache>
                <c:formatCode>#,##0</c:formatCode>
                <c:ptCount val="1"/>
                <c:pt idx="0">
                  <c:v>4980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24543"/>
            </a:solidFill>
            <a:ln w="4752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P7_Operations!$J$6</c:f>
              <c:numCache>
                <c:formatCode>#,##0</c:formatCode>
                <c:ptCount val="1"/>
                <c:pt idx="0">
                  <c:v>5100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P7_Operations!$K$6</c:f>
              <c:numCache>
                <c:formatCode>#,##0</c:formatCode>
                <c:ptCount val="1"/>
                <c:pt idx="0">
                  <c:v>5050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45994"/>
            </a:solidFill>
            <a:ln w="4752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P7_Operations!$L$6</c:f>
              <c:numCache>
                <c:formatCode>#,##0</c:formatCode>
                <c:ptCount val="1"/>
                <c:pt idx="0">
                  <c:v>5120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19fb7"/>
            </a:solidFill>
            <a:ln w="4752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P7_Operations!$M$6</c:f>
              <c:numCache>
                <c:formatCode>#,##0</c:formatCode>
                <c:ptCount val="1"/>
                <c:pt idx="0">
                  <c:v>4900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5883b"/>
            </a:solidFill>
            <a:ln w="4752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P7_Operations!$N$6</c:f>
              <c:numCache>
                <c:formatCode>#,##0</c:formatCode>
                <c:ptCount val="1"/>
                <c:pt idx="0">
                  <c:v>4720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7997c4"/>
            </a:solidFill>
            <a:ln w="4752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P7_Operations!$C$7</c:f>
              <c:numCache>
                <c:formatCode>#,##0</c:formatCode>
                <c:ptCount val="1"/>
                <c:pt idx="0">
                  <c:v>4820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c77978"/>
            </a:solidFill>
            <a:ln w="4752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P7_Operations!$D$7</c:f>
              <c:numCache>
                <c:formatCode>#,##0</c:formatCode>
                <c:ptCount val="1"/>
                <c:pt idx="0">
                  <c:v>4320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P7_Operations!$E$7</c:f>
              <c:numCache>
                <c:formatCode>#,##0</c:formatCode>
                <c:ptCount val="1"/>
                <c:pt idx="0">
                  <c:v>5080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9684af"/>
            </a:solidFill>
            <a:ln w="4752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P7_Operations!$F$7</c:f>
              <c:numCache>
                <c:formatCode>#,##0</c:formatCode>
                <c:ptCount val="1"/>
                <c:pt idx="0">
                  <c:v>5150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77b6cc"/>
            </a:solidFill>
            <a:ln w="4752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P7_Operations!$G$7</c:f>
              <c:numCache>
                <c:formatCode>#,##0</c:formatCode>
                <c:ptCount val="1"/>
                <c:pt idx="0">
                  <c:v>5280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a574"/>
            </a:solidFill>
            <a:ln w="4752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P7_Operations!$H$7</c:f>
              <c:numCache>
                <c:formatCode>#,##0</c:formatCode>
                <c:ptCount val="1"/>
                <c:pt idx="0">
                  <c:v>4980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b0bed7"/>
            </a:solidFill>
            <a:ln w="4752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P7_Operations!$I$7</c:f>
              <c:numCache>
                <c:formatCode>#,##0</c:formatCode>
                <c:ptCount val="1"/>
                <c:pt idx="0">
                  <c:v>4900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d9b0b0"/>
            </a:solidFill>
            <a:ln w="4752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P7_Operations!$J$7</c:f>
              <c:numCache>
                <c:formatCode>#,##0</c:formatCode>
                <c:ptCount val="1"/>
                <c:pt idx="0">
                  <c:v>5020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c7d6b1"/>
            </a:solidFill>
            <a:ln w="4752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P7_Operations!$K$7</c:f>
              <c:numCache>
                <c:formatCode>#,##0</c:formatCode>
                <c:ptCount val="1"/>
                <c:pt idx="0">
                  <c:v>4980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bdb4cb"/>
            </a:solidFill>
            <a:ln w="47520">
              <a:solidFill>
                <a:srgbClr val="bdb4c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P7_Operations!$L$7</c:f>
              <c:numCache>
                <c:formatCode>#,##0</c:formatCode>
                <c:ptCount val="1"/>
                <c:pt idx="0">
                  <c:v>5050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b0cfdc"/>
            </a:solidFill>
            <a:ln w="47520">
              <a:solidFill>
                <a:srgbClr val="b0cf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P7_Operations!$M$7</c:f>
              <c:numCache>
                <c:formatCode>#,##0</c:formatCode>
                <c:ptCount val="1"/>
                <c:pt idx="0">
                  <c:v>4820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6c4ae"/>
            </a:solidFill>
            <a:ln w="47520">
              <a:solidFill>
                <a:srgbClr val="f6c4a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P7_Operations!$C$5:$N$5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/>
                </c:pt>
              </c:strCache>
            </c:strRef>
          </c:cat>
          <c:val>
            <c:numRef>
              <c:f>P7_Operations!$N$7</c:f>
              <c:numCache>
                <c:formatCode>#,##0</c:formatCode>
                <c:ptCount val="1"/>
                <c:pt idx="0">
                  <c:v>4680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422637"/>
        <c:axId val="91679763"/>
      </c:lineChart>
      <c:catAx>
        <c:axId val="15422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79763"/>
        <c:crosses val="autoZero"/>
        <c:auto val="1"/>
        <c:lblAlgn val="ctr"/>
        <c:lblOffset val="100"/>
        <c:noMultiLvlLbl val="0"/>
      </c:catAx>
      <c:valAx>
        <c:axId val="91679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22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REWARD² Dimension Scores (A=4, A-=3.7, B+=3.3)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8c5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Dashboard!$B$10:$B$19</c:f>
              <c:strCache>
                <c:ptCount val="10"/>
                <c:pt idx="0">
                  <c:v>Load Baseline Accuracy</c:v>
                </c:pt>
                <c:pt idx="1">
                  <c:v>Technology Validation</c:v>
                </c:pt>
                <c:pt idx="2">
                  <c:v>BESS Sizing Rigour</c:v>
                </c:pt>
                <c:pt idx="3">
                  <c:v>Financial Modelling</c:v>
                </c:pt>
                <c:pt idx="4">
                  <c:v>Grid Interconnection</c:v>
                </c:pt>
                <c:pt idx="5">
                  <c:v>Power Quality</c:v>
                </c:pt>
                <c:pt idx="6">
                  <c:v>Carbon Accounting</c:v>
                </c:pt>
                <c:pt idx="7">
                  <c:v>Operational Readiness</c:v>
                </c:pt>
                <c:pt idx="8">
                  <c:v>Regulatory Depth</c:v>
                </c:pt>
                <c:pt idx="9">
                  <c:v>Standards Alignment</c:v>
                </c:pt>
              </c:strCache>
            </c:strRef>
          </c:cat>
          <c:val>
            <c:numRef>
              <c:f>Dashboard!$H$10:$H$19</c:f>
              <c:numCache>
                <c:formatCode>0.0</c:formatCode>
                <c:ptCount val="10"/>
                <c:pt idx="0">
                  <c:v>4</c:v>
                </c:pt>
                <c:pt idx="1">
                  <c:v>3.7</c:v>
                </c:pt>
                <c:pt idx="2">
                  <c:v>4</c:v>
                </c:pt>
                <c:pt idx="3">
                  <c:v>4</c:v>
                </c:pt>
                <c:pt idx="4">
                  <c:v>3.3</c:v>
                </c:pt>
                <c:pt idx="5">
                  <c:v>3.7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gapWidth val="150"/>
        <c:overlap val="0"/>
        <c:axId val="37506351"/>
        <c:axId val="52855278"/>
      </c:barChart>
      <c:catAx>
        <c:axId val="3750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55278"/>
        <c:crosses val="autoZero"/>
        <c:auto val="1"/>
        <c:lblAlgn val="ctr"/>
        <c:lblOffset val="100"/>
        <c:noMultiLvlLbl val="0"/>
      </c:catAx>
      <c:valAx>
        <c:axId val="52855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06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RE Mix — Portfolio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8c5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d737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1d4e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ca3a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6d28d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Dashboard!$I$10:$I$14</c:f>
              <c:strCache>
                <c:ptCount val="5"/>
                <c:pt idx="0">
                  <c:v>Solar (on-site)</c:v>
                </c:pt>
                <c:pt idx="1">
                  <c:v>Wind (ISTS)</c:v>
                </c:pt>
                <c:pt idx="2">
                  <c:v>BESS Dispatch</c:v>
                </c:pt>
                <c:pt idx="3">
                  <c:v>Grid (residual)</c:v>
                </c:pt>
                <c:pt idx="4">
                  <c:v>Green H₂ (future)</c:v>
                </c:pt>
              </c:strCache>
            </c:strRef>
          </c:cat>
          <c:val>
            <c:numRef>
              <c:f>Dashboard!$J$10:$J$14</c:f>
              <c:numCache>
                <c:formatCode>General</c:formatCode>
                <c:ptCount val="5"/>
                <c:pt idx="0">
                  <c:v>60</c:v>
                </c:pt>
                <c:pt idx="1">
                  <c:v>15</c:v>
                </c:pt>
                <c:pt idx="2">
                  <c:v>12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8</xdr:col>
      <xdr:colOff>433080</xdr:colOff>
      <xdr:row>41</xdr:row>
      <xdr:rowOff>170640</xdr:rowOff>
    </xdr:to>
    <xdr:graphicFrame>
      <xdr:nvGraphicFramePr>
        <xdr:cNvPr id="0" name="Chart 1"/>
        <xdr:cNvGraphicFramePr/>
      </xdr:nvGraphicFramePr>
      <xdr:xfrm>
        <a:off x="211320" y="4572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7</xdr:col>
      <xdr:colOff>417960</xdr:colOff>
      <xdr:row>43</xdr:row>
      <xdr:rowOff>170640</xdr:rowOff>
    </xdr:to>
    <xdr:graphicFrame>
      <xdr:nvGraphicFramePr>
        <xdr:cNvPr id="1" name="Chart 1"/>
        <xdr:cNvGraphicFramePr/>
      </xdr:nvGraphicFramePr>
      <xdr:xfrm>
        <a:off x="211320" y="4952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7</xdr:col>
      <xdr:colOff>347400</xdr:colOff>
      <xdr:row>39</xdr:row>
      <xdr:rowOff>1080</xdr:rowOff>
    </xdr:to>
    <xdr:graphicFrame>
      <xdr:nvGraphicFramePr>
        <xdr:cNvPr id="2" name="Chart 1"/>
        <xdr:cNvGraphicFramePr/>
      </xdr:nvGraphicFramePr>
      <xdr:xfrm>
        <a:off x="211320" y="4381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45</xdr:row>
      <xdr:rowOff>0</xdr:rowOff>
    </xdr:from>
    <xdr:to>
      <xdr:col>5</xdr:col>
      <xdr:colOff>966600</xdr:colOff>
      <xdr:row>62</xdr:row>
      <xdr:rowOff>1080</xdr:rowOff>
    </xdr:to>
    <xdr:graphicFrame>
      <xdr:nvGraphicFramePr>
        <xdr:cNvPr id="3" name="Chart 1"/>
        <xdr:cNvGraphicFramePr/>
      </xdr:nvGraphicFramePr>
      <xdr:xfrm>
        <a:off x="211320" y="8763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7</xdr:col>
      <xdr:colOff>347400</xdr:colOff>
      <xdr:row>42</xdr:row>
      <xdr:rowOff>1080</xdr:rowOff>
    </xdr:to>
    <xdr:graphicFrame>
      <xdr:nvGraphicFramePr>
        <xdr:cNvPr id="4" name="Chart 1"/>
        <xdr:cNvGraphicFramePr/>
      </xdr:nvGraphicFramePr>
      <xdr:xfrm>
        <a:off x="211320" y="4952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5</xdr:col>
      <xdr:colOff>324720</xdr:colOff>
      <xdr:row>41</xdr:row>
      <xdr:rowOff>149760</xdr:rowOff>
    </xdr:to>
    <xdr:graphicFrame>
      <xdr:nvGraphicFramePr>
        <xdr:cNvPr id="5" name="Chart 1"/>
        <xdr:cNvGraphicFramePr/>
      </xdr:nvGraphicFramePr>
      <xdr:xfrm>
        <a:off x="211320" y="421020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8</xdr:col>
      <xdr:colOff>936360</xdr:colOff>
      <xdr:row>39</xdr:row>
      <xdr:rowOff>170640</xdr:rowOff>
    </xdr:to>
    <xdr:graphicFrame>
      <xdr:nvGraphicFramePr>
        <xdr:cNvPr id="6" name="Chart 2"/>
        <xdr:cNvGraphicFramePr/>
      </xdr:nvGraphicFramePr>
      <xdr:xfrm>
        <a:off x="5286240" y="42102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8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7.75" hidden="false" customHeight="true" outlineLevel="0" collapsed="false">
      <c r="B3" s="1"/>
      <c r="C3" s="1"/>
      <c r="D3" s="1"/>
      <c r="E3" s="1"/>
      <c r="F3" s="1"/>
    </row>
    <row r="4" customFormat="false" ht="15" hidden="false" customHeight="false" outlineLevel="0" collapsed="false">
      <c r="B4" s="1"/>
      <c r="C4" s="1"/>
      <c r="D4" s="1"/>
      <c r="E4" s="1"/>
      <c r="F4" s="1"/>
    </row>
    <row r="5" customFormat="false" ht="21.75" hidden="false" customHeight="true" outlineLevel="0" collapsed="false">
      <c r="B5" s="2" t="s">
        <v>1</v>
      </c>
      <c r="C5" s="2"/>
      <c r="D5" s="2"/>
      <c r="E5" s="2"/>
      <c r="F5" s="2"/>
    </row>
    <row r="7" customFormat="false" ht="15" hidden="false" customHeight="false" outlineLevel="0" collapsed="false">
      <c r="B7" s="3" t="s">
        <v>2</v>
      </c>
      <c r="C7" s="3"/>
      <c r="D7" s="3"/>
      <c r="E7" s="3"/>
      <c r="F7" s="3"/>
    </row>
    <row r="8" customFormat="false" ht="15" hidden="false" customHeight="false" outlineLevel="0" collapsed="false">
      <c r="B8" s="4" t="s">
        <v>3</v>
      </c>
      <c r="C8" s="4" t="s">
        <v>4</v>
      </c>
      <c r="D8" s="4" t="s">
        <v>5</v>
      </c>
      <c r="E8" s="4" t="s">
        <v>6</v>
      </c>
      <c r="F8" s="4"/>
    </row>
    <row r="9" customFormat="false" ht="19.5" hidden="false" customHeight="true" outlineLevel="0" collapsed="false">
      <c r="B9" s="5" t="s">
        <v>7</v>
      </c>
      <c r="C9" s="6" t="s">
        <v>8</v>
      </c>
      <c r="D9" s="6" t="s">
        <v>9</v>
      </c>
      <c r="E9" s="6" t="s">
        <v>10</v>
      </c>
    </row>
    <row r="10" customFormat="false" ht="19.5" hidden="false" customHeight="true" outlineLevel="0" collapsed="false">
      <c r="B10" s="5" t="s">
        <v>11</v>
      </c>
      <c r="C10" s="6" t="s">
        <v>12</v>
      </c>
      <c r="D10" s="6" t="s">
        <v>13</v>
      </c>
      <c r="E10" s="6" t="s">
        <v>14</v>
      </c>
    </row>
    <row r="11" customFormat="false" ht="19.5" hidden="false" customHeight="true" outlineLevel="0" collapsed="false">
      <c r="B11" s="7" t="s">
        <v>15</v>
      </c>
      <c r="C11" s="6" t="s">
        <v>16</v>
      </c>
      <c r="D11" s="6" t="s">
        <v>17</v>
      </c>
      <c r="E11" s="6" t="s">
        <v>18</v>
      </c>
    </row>
    <row r="12" customFormat="false" ht="19.5" hidden="false" customHeight="true" outlineLevel="0" collapsed="false">
      <c r="B12" s="8" t="s">
        <v>19</v>
      </c>
      <c r="C12" s="6" t="s">
        <v>20</v>
      </c>
      <c r="D12" s="6" t="s">
        <v>21</v>
      </c>
      <c r="E12" s="6" t="s">
        <v>22</v>
      </c>
    </row>
    <row r="13" customFormat="false" ht="19.5" hidden="false" customHeight="true" outlineLevel="0" collapsed="false">
      <c r="B13" s="9" t="s">
        <v>23</v>
      </c>
      <c r="C13" s="6" t="s">
        <v>24</v>
      </c>
      <c r="D13" s="6" t="s">
        <v>25</v>
      </c>
      <c r="E13" s="6" t="s">
        <v>26</v>
      </c>
    </row>
    <row r="14" customFormat="false" ht="19.5" hidden="false" customHeight="true" outlineLevel="0" collapsed="false">
      <c r="B14" s="10" t="s">
        <v>27</v>
      </c>
      <c r="C14" s="6" t="s">
        <v>28</v>
      </c>
      <c r="D14" s="6" t="s">
        <v>29</v>
      </c>
      <c r="E14" s="6" t="s">
        <v>30</v>
      </c>
    </row>
    <row r="15" customFormat="false" ht="19.5" hidden="false" customHeight="true" outlineLevel="0" collapsed="false">
      <c r="B15" s="11" t="s">
        <v>31</v>
      </c>
      <c r="C15" s="6" t="s">
        <v>32</v>
      </c>
      <c r="D15" s="6" t="s">
        <v>33</v>
      </c>
      <c r="E15" s="6" t="s">
        <v>34</v>
      </c>
    </row>
    <row r="16" customFormat="false" ht="19.5" hidden="false" customHeight="true" outlineLevel="0" collapsed="false">
      <c r="B16" s="5" t="s">
        <v>35</v>
      </c>
      <c r="C16" s="6" t="s">
        <v>36</v>
      </c>
      <c r="D16" s="6" t="s">
        <v>37</v>
      </c>
      <c r="E16" s="6" t="s">
        <v>38</v>
      </c>
    </row>
    <row r="17" customFormat="false" ht="19.5" hidden="false" customHeight="true" outlineLevel="0" collapsed="false">
      <c r="B17" s="12"/>
      <c r="C17" s="6" t="s">
        <v>39</v>
      </c>
      <c r="D17" s="6" t="s">
        <v>40</v>
      </c>
      <c r="E17" s="6" t="s">
        <v>41</v>
      </c>
    </row>
    <row r="20" customFormat="false" ht="18" hidden="false" customHeight="true" outlineLevel="0" collapsed="false">
      <c r="B20" s="13" t="s">
        <v>42</v>
      </c>
      <c r="C20" s="13"/>
      <c r="D20" s="13"/>
      <c r="E20" s="13"/>
      <c r="F20" s="13"/>
    </row>
    <row r="21" customFormat="false" ht="30" hidden="false" customHeight="true" outlineLevel="0" collapsed="false">
      <c r="B21" s="14" t="s">
        <v>43</v>
      </c>
      <c r="C21" s="15" t="s">
        <v>44</v>
      </c>
      <c r="D21" s="16" t="s">
        <v>45</v>
      </c>
      <c r="E21" s="17" t="s">
        <v>46</v>
      </c>
    </row>
  </sheetData>
  <mergeCells count="4">
    <mergeCell ref="B2:F4"/>
    <mergeCell ref="B5:F5"/>
    <mergeCell ref="B7:F7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0" min="3" style="0" width="16"/>
  </cols>
  <sheetData>
    <row r="1" customFormat="false" ht="30" hidden="false" customHeight="true" outlineLevel="0" collapsed="false">
      <c r="B1" s="18" t="s">
        <v>47</v>
      </c>
      <c r="C1" s="18"/>
      <c r="D1" s="18"/>
      <c r="E1" s="18"/>
      <c r="F1" s="18"/>
      <c r="G1" s="18"/>
      <c r="H1" s="18"/>
      <c r="I1" s="18"/>
      <c r="J1" s="18"/>
    </row>
    <row r="2" customFormat="false" ht="15" hidden="false" customHeight="false" outlineLevel="0" collapsed="false">
      <c r="B2" s="19" t="s">
        <v>48</v>
      </c>
      <c r="C2" s="19"/>
      <c r="D2" s="19"/>
      <c r="E2" s="19"/>
      <c r="F2" s="19"/>
      <c r="G2" s="19"/>
      <c r="H2" s="19"/>
      <c r="I2" s="19"/>
      <c r="J2" s="19"/>
    </row>
    <row r="4" customFormat="false" ht="15" hidden="false" customHeight="false" outlineLevel="0" collapsed="false">
      <c r="B4" s="20" t="s">
        <v>49</v>
      </c>
      <c r="C4" s="20"/>
      <c r="D4" s="20"/>
      <c r="E4" s="20"/>
      <c r="F4" s="20"/>
      <c r="G4" s="20"/>
      <c r="H4" s="20"/>
      <c r="I4" s="20"/>
      <c r="J4" s="20"/>
    </row>
    <row r="5" customFormat="false" ht="15" hidden="false" customHeight="false" outlineLevel="0" collapsed="false">
      <c r="B5" s="21" t="s">
        <v>50</v>
      </c>
      <c r="C5" s="21" t="s">
        <v>51</v>
      </c>
      <c r="D5" s="21" t="s">
        <v>52</v>
      </c>
      <c r="E5" s="21" t="s">
        <v>53</v>
      </c>
      <c r="F5" s="21" t="s">
        <v>54</v>
      </c>
      <c r="G5" s="21" t="s">
        <v>55</v>
      </c>
      <c r="H5" s="21" t="s">
        <v>56</v>
      </c>
      <c r="I5" s="21" t="s">
        <v>57</v>
      </c>
      <c r="J5" s="21" t="s">
        <v>58</v>
      </c>
    </row>
    <row r="6" customFormat="false" ht="15" hidden="false" customHeight="false" outlineLevel="0" collapsed="false">
      <c r="B6" s="22" t="s">
        <v>59</v>
      </c>
      <c r="C6" s="22" t="s">
        <v>60</v>
      </c>
      <c r="D6" s="23" t="n">
        <v>18</v>
      </c>
      <c r="E6" s="22" t="s">
        <v>61</v>
      </c>
      <c r="F6" s="22" t="s">
        <v>62</v>
      </c>
      <c r="G6" s="22" t="s">
        <v>63</v>
      </c>
      <c r="H6" s="22" t="s">
        <v>62</v>
      </c>
      <c r="I6" s="24" t="n">
        <v>0.5</v>
      </c>
      <c r="J6" s="25" t="n">
        <v>15</v>
      </c>
    </row>
    <row r="7" customFormat="false" ht="15" hidden="false" customHeight="false" outlineLevel="0" collapsed="false">
      <c r="B7" s="26" t="s">
        <v>64</v>
      </c>
      <c r="C7" s="26" t="s">
        <v>65</v>
      </c>
      <c r="D7" s="27" t="n">
        <v>12</v>
      </c>
      <c r="E7" s="26" t="s">
        <v>61</v>
      </c>
      <c r="F7" s="26" t="s">
        <v>62</v>
      </c>
      <c r="G7" s="26" t="s">
        <v>66</v>
      </c>
      <c r="H7" s="26" t="s">
        <v>62</v>
      </c>
      <c r="I7" s="28" t="n">
        <v>1</v>
      </c>
      <c r="J7" s="29" t="n">
        <v>10</v>
      </c>
    </row>
    <row r="8" customFormat="false" ht="15" hidden="false" customHeight="false" outlineLevel="0" collapsed="false">
      <c r="B8" s="22" t="s">
        <v>67</v>
      </c>
      <c r="C8" s="22" t="s">
        <v>68</v>
      </c>
      <c r="D8" s="23" t="n">
        <v>15.5</v>
      </c>
      <c r="E8" s="22" t="s">
        <v>61</v>
      </c>
      <c r="F8" s="22" t="s">
        <v>69</v>
      </c>
      <c r="G8" s="22" t="s">
        <v>63</v>
      </c>
      <c r="H8" s="22" t="s">
        <v>62</v>
      </c>
      <c r="I8" s="24" t="n">
        <v>0.5</v>
      </c>
      <c r="J8" s="25" t="n">
        <v>15</v>
      </c>
    </row>
    <row r="9" customFormat="false" ht="15" hidden="false" customHeight="false" outlineLevel="0" collapsed="false">
      <c r="B9" s="26" t="s">
        <v>70</v>
      </c>
      <c r="C9" s="26" t="s">
        <v>71</v>
      </c>
      <c r="D9" s="27" t="n">
        <v>20</v>
      </c>
      <c r="E9" s="26" t="s">
        <v>72</v>
      </c>
      <c r="F9" s="26" t="s">
        <v>69</v>
      </c>
      <c r="G9" s="26" t="s">
        <v>73</v>
      </c>
      <c r="H9" s="26" t="s">
        <v>62</v>
      </c>
      <c r="I9" s="28" t="n">
        <v>0.25</v>
      </c>
      <c r="J9" s="29" t="n">
        <v>20</v>
      </c>
    </row>
    <row r="10" customFormat="false" ht="15" hidden="false" customHeight="false" outlineLevel="0" collapsed="false">
      <c r="B10" s="22" t="s">
        <v>74</v>
      </c>
      <c r="C10" s="22" t="s">
        <v>75</v>
      </c>
      <c r="D10" s="23" t="n">
        <v>10</v>
      </c>
      <c r="E10" s="22" t="s">
        <v>76</v>
      </c>
      <c r="F10" s="22" t="s">
        <v>69</v>
      </c>
      <c r="G10" s="22" t="s">
        <v>66</v>
      </c>
      <c r="H10" s="22" t="s">
        <v>69</v>
      </c>
      <c r="I10" s="24" t="n">
        <v>2</v>
      </c>
      <c r="J10" s="25" t="n">
        <v>5</v>
      </c>
    </row>
    <row r="11" customFormat="false" ht="15" hidden="false" customHeight="false" outlineLevel="0" collapsed="false">
      <c r="B11" s="26" t="s">
        <v>77</v>
      </c>
      <c r="C11" s="26" t="s">
        <v>78</v>
      </c>
      <c r="D11" s="27" t="n">
        <v>5.5</v>
      </c>
      <c r="E11" s="26" t="s">
        <v>76</v>
      </c>
      <c r="F11" s="26" t="s">
        <v>69</v>
      </c>
      <c r="G11" s="26" t="s">
        <v>66</v>
      </c>
      <c r="H11" s="26" t="s">
        <v>69</v>
      </c>
      <c r="I11" s="28" t="n">
        <v>3</v>
      </c>
      <c r="J11" s="29" t="n">
        <v>5</v>
      </c>
    </row>
    <row r="12" customFormat="false" ht="15" hidden="false" customHeight="false" outlineLevel="0" collapsed="false">
      <c r="B12" s="22" t="s">
        <v>79</v>
      </c>
      <c r="C12" s="22" t="s">
        <v>80</v>
      </c>
      <c r="D12" s="23" t="n">
        <v>3.2</v>
      </c>
      <c r="E12" s="22" t="s">
        <v>76</v>
      </c>
      <c r="F12" s="22" t="s">
        <v>69</v>
      </c>
      <c r="G12" s="22" t="s">
        <v>81</v>
      </c>
      <c r="H12" s="22" t="s">
        <v>69</v>
      </c>
      <c r="I12" s="24" t="n">
        <v>4</v>
      </c>
      <c r="J12" s="25" t="n">
        <v>3</v>
      </c>
    </row>
    <row r="15" customFormat="false" ht="15" hidden="false" customHeight="false" outlineLevel="0" collapsed="false">
      <c r="B15" s="30" t="s">
        <v>82</v>
      </c>
      <c r="C15" s="30"/>
      <c r="D15" s="30"/>
      <c r="E15" s="30"/>
      <c r="F15" s="30"/>
      <c r="G15" s="30"/>
      <c r="H15" s="30"/>
      <c r="I15" s="30"/>
      <c r="J15" s="30"/>
    </row>
    <row r="16" customFormat="false" ht="15" hidden="false" customHeight="false" outlineLevel="0" collapsed="false">
      <c r="B16" s="21" t="s">
        <v>50</v>
      </c>
      <c r="C16" s="21" t="s">
        <v>83</v>
      </c>
      <c r="D16" s="21" t="s">
        <v>84</v>
      </c>
      <c r="E16" s="21" t="s">
        <v>85</v>
      </c>
      <c r="F16" s="21" t="s">
        <v>86</v>
      </c>
      <c r="G16" s="21" t="s">
        <v>87</v>
      </c>
      <c r="H16" s="21" t="s">
        <v>88</v>
      </c>
      <c r="I16" s="21" t="s">
        <v>89</v>
      </c>
      <c r="J16" s="21" t="s">
        <v>90</v>
      </c>
    </row>
    <row r="17" customFormat="false" ht="15" hidden="false" customHeight="false" outlineLevel="0" collapsed="false">
      <c r="B17" s="31" t="s">
        <v>59</v>
      </c>
      <c r="C17" s="32" t="s">
        <v>91</v>
      </c>
      <c r="D17" s="32" t="s">
        <v>63</v>
      </c>
      <c r="E17" s="33" t="n">
        <v>22500</v>
      </c>
      <c r="F17" s="33" t="n">
        <v>18000</v>
      </c>
      <c r="G17" s="34" t="n">
        <f aca="false">F17/E17</f>
        <v>0.8</v>
      </c>
      <c r="H17" s="32" t="s">
        <v>62</v>
      </c>
      <c r="I17" s="35" t="n">
        <v>15</v>
      </c>
      <c r="J17" s="32" t="s">
        <v>92</v>
      </c>
    </row>
    <row r="18" customFormat="false" ht="15" hidden="false" customHeight="false" outlineLevel="0" collapsed="false">
      <c r="B18" s="36" t="s">
        <v>64</v>
      </c>
      <c r="C18" s="37" t="s">
        <v>91</v>
      </c>
      <c r="D18" s="37" t="s">
        <v>66</v>
      </c>
      <c r="E18" s="38" t="n">
        <v>15000</v>
      </c>
      <c r="F18" s="38" t="n">
        <v>12000</v>
      </c>
      <c r="G18" s="39" t="n">
        <f aca="false">F18/E18</f>
        <v>0.8</v>
      </c>
      <c r="H18" s="37" t="s">
        <v>62</v>
      </c>
      <c r="I18" s="40" t="n">
        <v>10</v>
      </c>
      <c r="J18" s="37" t="s">
        <v>93</v>
      </c>
    </row>
    <row r="19" customFormat="false" ht="15" hidden="false" customHeight="false" outlineLevel="0" collapsed="false">
      <c r="B19" s="31" t="s">
        <v>67</v>
      </c>
      <c r="C19" s="32" t="s">
        <v>91</v>
      </c>
      <c r="D19" s="32" t="s">
        <v>63</v>
      </c>
      <c r="E19" s="33" t="n">
        <v>19000</v>
      </c>
      <c r="F19" s="33" t="n">
        <v>15500</v>
      </c>
      <c r="G19" s="34" t="n">
        <f aca="false">F19/E19</f>
        <v>0.815789473684211</v>
      </c>
      <c r="H19" s="32" t="s">
        <v>62</v>
      </c>
      <c r="I19" s="35" t="n">
        <v>12</v>
      </c>
      <c r="J19" s="32" t="s">
        <v>94</v>
      </c>
    </row>
    <row r="20" customFormat="false" ht="15" hidden="false" customHeight="false" outlineLevel="0" collapsed="false">
      <c r="B20" s="36" t="s">
        <v>70</v>
      </c>
      <c r="C20" s="37" t="s">
        <v>95</v>
      </c>
      <c r="D20" s="37" t="s">
        <v>73</v>
      </c>
      <c r="E20" s="38" t="n">
        <v>25000</v>
      </c>
      <c r="F20" s="38" t="n">
        <v>20000</v>
      </c>
      <c r="G20" s="39" t="n">
        <f aca="false">F20/E20</f>
        <v>0.8</v>
      </c>
      <c r="H20" s="37" t="s">
        <v>62</v>
      </c>
      <c r="I20" s="40" t="n">
        <v>20</v>
      </c>
      <c r="J20" s="37" t="s">
        <v>96</v>
      </c>
    </row>
    <row r="21" customFormat="false" ht="15" hidden="false" customHeight="false" outlineLevel="0" collapsed="false">
      <c r="B21" s="31" t="s">
        <v>74</v>
      </c>
      <c r="C21" s="32" t="s">
        <v>91</v>
      </c>
      <c r="D21" s="32" t="s">
        <v>66</v>
      </c>
      <c r="E21" s="33" t="n">
        <v>12500</v>
      </c>
      <c r="F21" s="33" t="n">
        <v>10000</v>
      </c>
      <c r="G21" s="34" t="n">
        <f aca="false">F21/E21</f>
        <v>0.8</v>
      </c>
      <c r="H21" s="32" t="s">
        <v>62</v>
      </c>
      <c r="I21" s="35" t="n">
        <v>8</v>
      </c>
      <c r="J21" s="32" t="s">
        <v>97</v>
      </c>
    </row>
    <row r="22" customFormat="false" ht="15" hidden="false" customHeight="false" outlineLevel="0" collapsed="false">
      <c r="B22" s="36" t="s">
        <v>77</v>
      </c>
      <c r="C22" s="37" t="s">
        <v>91</v>
      </c>
      <c r="D22" s="37" t="s">
        <v>66</v>
      </c>
      <c r="E22" s="38" t="n">
        <v>7000</v>
      </c>
      <c r="F22" s="38" t="n">
        <v>5500</v>
      </c>
      <c r="G22" s="39" t="n">
        <f aca="false">F22/E22</f>
        <v>0.785714285714286</v>
      </c>
      <c r="H22" s="37" t="s">
        <v>69</v>
      </c>
      <c r="I22" s="40" t="n">
        <v>5</v>
      </c>
      <c r="J22" s="37" t="s">
        <v>98</v>
      </c>
    </row>
    <row r="23" customFormat="false" ht="15" hidden="false" customHeight="false" outlineLevel="0" collapsed="false">
      <c r="B23" s="31" t="s">
        <v>79</v>
      </c>
      <c r="C23" s="32" t="s">
        <v>99</v>
      </c>
      <c r="D23" s="32" t="s">
        <v>81</v>
      </c>
      <c r="E23" s="33" t="n">
        <v>4000</v>
      </c>
      <c r="F23" s="33" t="n">
        <v>3200</v>
      </c>
      <c r="G23" s="34" t="n">
        <f aca="false">F23/E23</f>
        <v>0.8</v>
      </c>
      <c r="H23" s="32" t="s">
        <v>69</v>
      </c>
      <c r="I23" s="35" t="n">
        <v>3</v>
      </c>
      <c r="J23" s="32" t="s">
        <v>100</v>
      </c>
    </row>
    <row r="26" customFormat="false" ht="15" hidden="false" customHeight="false" outlineLevel="0" collapsed="false">
      <c r="B26" s="30" t="s">
        <v>101</v>
      </c>
      <c r="C26" s="30"/>
      <c r="D26" s="30"/>
      <c r="E26" s="30"/>
      <c r="F26" s="30"/>
      <c r="G26" s="30"/>
      <c r="H26" s="30"/>
      <c r="I26" s="30"/>
      <c r="J26" s="30"/>
    </row>
    <row r="27" customFormat="false" ht="15" hidden="false" customHeight="false" outlineLevel="0" collapsed="false">
      <c r="B27" s="21" t="s">
        <v>50</v>
      </c>
      <c r="C27" s="21" t="s">
        <v>102</v>
      </c>
      <c r="D27" s="21" t="s">
        <v>103</v>
      </c>
      <c r="E27" s="21" t="s">
        <v>104</v>
      </c>
      <c r="F27" s="21" t="s">
        <v>105</v>
      </c>
      <c r="G27" s="21" t="s">
        <v>106</v>
      </c>
      <c r="H27" s="21" t="s">
        <v>107</v>
      </c>
      <c r="I27" s="21" t="s">
        <v>108</v>
      </c>
    </row>
    <row r="28" customFormat="false" ht="15" hidden="false" customHeight="false" outlineLevel="0" collapsed="false">
      <c r="B28" s="22" t="s">
        <v>59</v>
      </c>
      <c r="C28" s="41" t="n">
        <v>3.2</v>
      </c>
      <c r="D28" s="41" t="n">
        <v>8.5</v>
      </c>
      <c r="E28" s="42" t="n">
        <v>5</v>
      </c>
      <c r="F28" s="42" t="n">
        <v>15</v>
      </c>
      <c r="G28" s="43" t="s">
        <v>62</v>
      </c>
      <c r="H28" s="44" t="n">
        <v>0.92</v>
      </c>
      <c r="I28" s="32" t="s">
        <v>92</v>
      </c>
      <c r="J28" s="22" t="s">
        <v>109</v>
      </c>
    </row>
    <row r="29" customFormat="false" ht="15" hidden="false" customHeight="false" outlineLevel="0" collapsed="false">
      <c r="B29" s="26" t="s">
        <v>64</v>
      </c>
      <c r="C29" s="45" t="n">
        <v>4.8</v>
      </c>
      <c r="D29" s="45" t="n">
        <v>11.2</v>
      </c>
      <c r="E29" s="46" t="n">
        <v>5</v>
      </c>
      <c r="F29" s="46" t="n">
        <v>15</v>
      </c>
      <c r="G29" s="47" t="s">
        <v>62</v>
      </c>
      <c r="H29" s="48" t="n">
        <v>0.88</v>
      </c>
      <c r="I29" s="37" t="s">
        <v>93</v>
      </c>
      <c r="J29" s="26" t="s">
        <v>110</v>
      </c>
    </row>
    <row r="30" customFormat="false" ht="15" hidden="false" customHeight="false" outlineLevel="0" collapsed="false">
      <c r="B30" s="22" t="s">
        <v>67</v>
      </c>
      <c r="C30" s="41" t="n">
        <v>5.6</v>
      </c>
      <c r="D30" s="41" t="n">
        <v>14.8</v>
      </c>
      <c r="E30" s="42" t="n">
        <v>5</v>
      </c>
      <c r="F30" s="42" t="n">
        <v>15</v>
      </c>
      <c r="G30" s="49" t="s">
        <v>111</v>
      </c>
      <c r="H30" s="44" t="n">
        <v>0.85</v>
      </c>
      <c r="I30" s="32" t="s">
        <v>94</v>
      </c>
      <c r="J30" s="22" t="s">
        <v>112</v>
      </c>
    </row>
    <row r="31" customFormat="false" ht="15" hidden="false" customHeight="false" outlineLevel="0" collapsed="false">
      <c r="B31" s="26" t="s">
        <v>70</v>
      </c>
      <c r="C31" s="45" t="n">
        <v>2.1</v>
      </c>
      <c r="D31" s="45" t="n">
        <v>6.2</v>
      </c>
      <c r="E31" s="46" t="n">
        <v>5</v>
      </c>
      <c r="F31" s="46" t="n">
        <v>15</v>
      </c>
      <c r="G31" s="47" t="s">
        <v>62</v>
      </c>
      <c r="H31" s="48" t="n">
        <v>0.95</v>
      </c>
      <c r="I31" s="37" t="s">
        <v>96</v>
      </c>
      <c r="J31" s="26" t="s">
        <v>113</v>
      </c>
    </row>
    <row r="32" customFormat="false" ht="15" hidden="false" customHeight="false" outlineLevel="0" collapsed="false">
      <c r="B32" s="22" t="s">
        <v>74</v>
      </c>
      <c r="C32" s="41" t="n">
        <v>6.1</v>
      </c>
      <c r="D32" s="41" t="n">
        <v>16.4</v>
      </c>
      <c r="E32" s="42" t="n">
        <v>5</v>
      </c>
      <c r="F32" s="42" t="n">
        <v>15</v>
      </c>
      <c r="G32" s="50" t="s">
        <v>69</v>
      </c>
      <c r="H32" s="44" t="n">
        <v>0.82</v>
      </c>
      <c r="I32" s="32" t="s">
        <v>97</v>
      </c>
      <c r="J32" s="22" t="s">
        <v>114</v>
      </c>
    </row>
    <row r="33" customFormat="false" ht="15" hidden="false" customHeight="false" outlineLevel="0" collapsed="false">
      <c r="B33" s="26" t="s">
        <v>77</v>
      </c>
      <c r="C33" s="45" t="n">
        <v>3.8</v>
      </c>
      <c r="D33" s="45" t="n">
        <v>9.1</v>
      </c>
      <c r="E33" s="46" t="n">
        <v>5</v>
      </c>
      <c r="F33" s="46" t="n">
        <v>15</v>
      </c>
      <c r="G33" s="47" t="s">
        <v>62</v>
      </c>
      <c r="H33" s="48" t="n">
        <v>0.9</v>
      </c>
      <c r="I33" s="37" t="s">
        <v>98</v>
      </c>
      <c r="J33" s="26" t="s">
        <v>109</v>
      </c>
    </row>
    <row r="34" customFormat="false" ht="15" hidden="false" customHeight="false" outlineLevel="0" collapsed="false">
      <c r="B34" s="22" t="s">
        <v>79</v>
      </c>
      <c r="C34" s="41" t="n">
        <v>4.2</v>
      </c>
      <c r="D34" s="41" t="n">
        <v>10.5</v>
      </c>
      <c r="E34" s="42" t="n">
        <v>5</v>
      </c>
      <c r="F34" s="42" t="n">
        <v>15</v>
      </c>
      <c r="G34" s="43" t="s">
        <v>62</v>
      </c>
      <c r="H34" s="44" t="n">
        <v>0.87</v>
      </c>
      <c r="I34" s="32" t="s">
        <v>100</v>
      </c>
      <c r="J34" s="22" t="s">
        <v>115</v>
      </c>
    </row>
  </sheetData>
  <mergeCells count="5">
    <mergeCell ref="B1:J1"/>
    <mergeCell ref="B2:J2"/>
    <mergeCell ref="B4:J4"/>
    <mergeCell ref="B15:J15"/>
    <mergeCell ref="B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12" min="4" style="0" width="12"/>
    <col collapsed="false" customWidth="true" hidden="false" outlineLevel="0" max="13" min="13" style="0" width="14"/>
  </cols>
  <sheetData>
    <row r="1" customFormat="false" ht="30" hidden="false" customHeight="true" outlineLevel="0" collapsed="false">
      <c r="B1" s="18" t="s">
        <v>116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" hidden="false" customHeight="false" outlineLevel="0" collapsed="false">
      <c r="B2" s="19" t="s">
        <v>117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customFormat="false" ht="15" hidden="false" customHeight="false" outlineLevel="0" collapsed="false">
      <c r="B4" s="30" t="s">
        <v>118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customFormat="false" ht="15" hidden="false" customHeight="false" outlineLevel="0" collapsed="false">
      <c r="B5" s="21" t="s">
        <v>119</v>
      </c>
      <c r="C5" s="21" t="s">
        <v>120</v>
      </c>
      <c r="D5" s="21" t="s">
        <v>121</v>
      </c>
      <c r="E5" s="21" t="s">
        <v>122</v>
      </c>
      <c r="F5" s="21" t="s">
        <v>123</v>
      </c>
      <c r="G5" s="21" t="s">
        <v>124</v>
      </c>
      <c r="H5" s="21" t="s">
        <v>125</v>
      </c>
      <c r="I5" s="21" t="s">
        <v>126</v>
      </c>
      <c r="J5" s="21" t="s">
        <v>127</v>
      </c>
      <c r="K5" s="21" t="s">
        <v>107</v>
      </c>
      <c r="L5" s="21" t="s">
        <v>128</v>
      </c>
      <c r="M5" s="21" t="s">
        <v>129</v>
      </c>
    </row>
    <row r="6" customFormat="false" ht="15" hidden="false" customHeight="false" outlineLevel="0" collapsed="false">
      <c r="B6" s="22" t="s">
        <v>59</v>
      </c>
      <c r="C6" s="51" t="n">
        <v>12.8</v>
      </c>
      <c r="D6" s="51" t="n">
        <v>5.2</v>
      </c>
      <c r="E6" s="52" t="n">
        <f aca="false">C6+D6</f>
        <v>18</v>
      </c>
      <c r="F6" s="51" t="n">
        <v>19.8</v>
      </c>
      <c r="G6" s="51" t="n">
        <v>14.2</v>
      </c>
      <c r="H6" s="53" t="n">
        <v>1.41</v>
      </c>
      <c r="I6" s="54" t="n">
        <f aca="false">E6*8760</f>
        <v>157680</v>
      </c>
      <c r="J6" s="34" t="n">
        <f aca="false">E6/F6</f>
        <v>0.909090909090909</v>
      </c>
      <c r="K6" s="44" t="n">
        <v>0.92</v>
      </c>
      <c r="L6" s="55" t="s">
        <v>62</v>
      </c>
      <c r="M6" s="22" t="s">
        <v>130</v>
      </c>
      <c r="N6" s="22" t="s">
        <v>92</v>
      </c>
    </row>
    <row r="7" customFormat="false" ht="15" hidden="false" customHeight="false" outlineLevel="0" collapsed="false">
      <c r="B7" s="26" t="s">
        <v>64</v>
      </c>
      <c r="C7" s="56" t="n">
        <v>8.4</v>
      </c>
      <c r="D7" s="56" t="n">
        <v>3.8</v>
      </c>
      <c r="E7" s="57" t="n">
        <f aca="false">C7+D7</f>
        <v>12.2</v>
      </c>
      <c r="F7" s="56" t="n">
        <v>14.6</v>
      </c>
      <c r="G7" s="56" t="n">
        <v>10.2</v>
      </c>
      <c r="H7" s="58" t="n">
        <v>1.45</v>
      </c>
      <c r="I7" s="59" t="n">
        <f aca="false">E7*8760</f>
        <v>106872</v>
      </c>
      <c r="J7" s="39" t="n">
        <f aca="false">E7/F7</f>
        <v>0.835616438356164</v>
      </c>
      <c r="K7" s="48" t="n">
        <v>0.88</v>
      </c>
      <c r="L7" s="60" t="s">
        <v>62</v>
      </c>
      <c r="M7" s="26" t="s">
        <v>131</v>
      </c>
      <c r="N7" s="26" t="s">
        <v>93</v>
      </c>
    </row>
    <row r="8" customFormat="false" ht="15" hidden="false" customHeight="false" outlineLevel="0" collapsed="false">
      <c r="B8" s="22" t="s">
        <v>67</v>
      </c>
      <c r="C8" s="51" t="n">
        <v>10.6</v>
      </c>
      <c r="D8" s="51" t="n">
        <v>4.9</v>
      </c>
      <c r="E8" s="52" t="n">
        <f aca="false">C8+D8</f>
        <v>15.5</v>
      </c>
      <c r="F8" s="51" t="n">
        <v>17.8</v>
      </c>
      <c r="G8" s="51" t="n">
        <v>12.5</v>
      </c>
      <c r="H8" s="53" t="n">
        <v>1.46</v>
      </c>
      <c r="I8" s="54" t="n">
        <f aca="false">E8*8760</f>
        <v>135780</v>
      </c>
      <c r="J8" s="34" t="n">
        <f aca="false">E8/F8</f>
        <v>0.870786516853933</v>
      </c>
      <c r="K8" s="44" t="n">
        <v>0.85</v>
      </c>
      <c r="L8" s="55" t="s">
        <v>62</v>
      </c>
      <c r="M8" s="22" t="s">
        <v>132</v>
      </c>
      <c r="N8" s="22" t="s">
        <v>94</v>
      </c>
    </row>
    <row r="9" customFormat="false" ht="15" hidden="false" customHeight="false" outlineLevel="0" collapsed="false">
      <c r="B9" s="26" t="s">
        <v>70</v>
      </c>
      <c r="C9" s="56" t="n">
        <v>13.5</v>
      </c>
      <c r="D9" s="56" t="n">
        <v>5.8</v>
      </c>
      <c r="E9" s="57" t="n">
        <f aca="false">C9+D9</f>
        <v>19.3</v>
      </c>
      <c r="F9" s="56" t="n">
        <v>21.2</v>
      </c>
      <c r="G9" s="56" t="n">
        <v>16</v>
      </c>
      <c r="H9" s="58" t="n">
        <v>1.43</v>
      </c>
      <c r="I9" s="59" t="n">
        <f aca="false">E9*8760</f>
        <v>169068</v>
      </c>
      <c r="J9" s="39" t="n">
        <f aca="false">E9/F9</f>
        <v>0.910377358490566</v>
      </c>
      <c r="K9" s="48" t="n">
        <v>0.95</v>
      </c>
      <c r="L9" s="60" t="s">
        <v>62</v>
      </c>
      <c r="M9" s="26" t="s">
        <v>131</v>
      </c>
      <c r="N9" s="26" t="s">
        <v>96</v>
      </c>
    </row>
    <row r="10" customFormat="false" ht="15" hidden="false" customHeight="false" outlineLevel="0" collapsed="false">
      <c r="B10" s="22" t="s">
        <v>74</v>
      </c>
      <c r="C10" s="51" t="n">
        <v>7.2</v>
      </c>
      <c r="D10" s="51" t="n">
        <v>3.1</v>
      </c>
      <c r="E10" s="52" t="n">
        <f aca="false">C10+D10</f>
        <v>10.3</v>
      </c>
      <c r="F10" s="51" t="n">
        <v>12</v>
      </c>
      <c r="G10" s="51" t="n">
        <v>8.8</v>
      </c>
      <c r="H10" s="53" t="n">
        <v>1.43</v>
      </c>
      <c r="I10" s="54" t="n">
        <f aca="false">E10*8760</f>
        <v>90228</v>
      </c>
      <c r="J10" s="34" t="n">
        <f aca="false">E10/F10</f>
        <v>0.858333333333333</v>
      </c>
      <c r="K10" s="44" t="n">
        <v>0.82</v>
      </c>
      <c r="L10" s="61" t="s">
        <v>133</v>
      </c>
      <c r="M10" s="22" t="s">
        <v>134</v>
      </c>
      <c r="N10" s="22" t="s">
        <v>97</v>
      </c>
    </row>
    <row r="11" customFormat="false" ht="15" hidden="false" customHeight="false" outlineLevel="0" collapsed="false">
      <c r="B11" s="26" t="s">
        <v>77</v>
      </c>
      <c r="C11" s="56" t="n">
        <v>3.8</v>
      </c>
      <c r="D11" s="56" t="n">
        <v>1.8</v>
      </c>
      <c r="E11" s="57" t="n">
        <f aca="false">C11+D11</f>
        <v>5.6</v>
      </c>
      <c r="F11" s="56" t="n">
        <v>6.2</v>
      </c>
      <c r="G11" s="56" t="n">
        <v>4.5</v>
      </c>
      <c r="H11" s="58" t="n">
        <v>1.47</v>
      </c>
      <c r="I11" s="59" t="n">
        <f aca="false">E11*8760</f>
        <v>49056</v>
      </c>
      <c r="J11" s="39" t="n">
        <f aca="false">E11/F11</f>
        <v>0.903225806451613</v>
      </c>
      <c r="K11" s="48" t="n">
        <v>0.9</v>
      </c>
      <c r="L11" s="62" t="s">
        <v>69</v>
      </c>
      <c r="M11" s="26" t="s">
        <v>135</v>
      </c>
      <c r="N11" s="26" t="s">
        <v>98</v>
      </c>
    </row>
    <row r="12" customFormat="false" ht="15" hidden="false" customHeight="false" outlineLevel="0" collapsed="false">
      <c r="B12" s="22" t="s">
        <v>79</v>
      </c>
      <c r="C12" s="51" t="n">
        <v>2.2</v>
      </c>
      <c r="D12" s="51" t="n">
        <v>1</v>
      </c>
      <c r="E12" s="52" t="n">
        <f aca="false">C12+D12</f>
        <v>3.2</v>
      </c>
      <c r="F12" s="51" t="n">
        <v>3.6</v>
      </c>
      <c r="G12" s="51" t="n">
        <v>2.8</v>
      </c>
      <c r="H12" s="53" t="n">
        <v>1.45</v>
      </c>
      <c r="I12" s="54" t="n">
        <f aca="false">E12*8760</f>
        <v>28032</v>
      </c>
      <c r="J12" s="34" t="n">
        <f aca="false">E12/F12</f>
        <v>0.888888888888889</v>
      </c>
      <c r="K12" s="44" t="n">
        <v>0.87</v>
      </c>
      <c r="L12" s="63" t="s">
        <v>69</v>
      </c>
      <c r="M12" s="22" t="s">
        <v>135</v>
      </c>
      <c r="N12" s="22" t="s">
        <v>100</v>
      </c>
    </row>
    <row r="13" customFormat="false" ht="15" hidden="false" customHeight="false" outlineLevel="0" collapsed="false">
      <c r="B13" s="4" t="s">
        <v>136</v>
      </c>
      <c r="C13" s="64" t="n">
        <f aca="false">SUM(C6:C12)</f>
        <v>58.5</v>
      </c>
      <c r="D13" s="64" t="n">
        <f aca="false">SUM(D6:D12)</f>
        <v>25.6</v>
      </c>
      <c r="E13" s="64" t="n">
        <f aca="false">SUM(E6:E12)</f>
        <v>84.1</v>
      </c>
      <c r="F13" s="64" t="n">
        <f aca="false">SUM(F6:F12)</f>
        <v>95.2</v>
      </c>
      <c r="G13" s="64" t="n">
        <f aca="false">SUM(G6:G12)</f>
        <v>69</v>
      </c>
      <c r="H13" s="65" t="n">
        <f aca="false">AVERAGE(H6:H12)</f>
        <v>1.44285714285714</v>
      </c>
      <c r="I13" s="66" t="n">
        <f aca="false">SUM(I6:I12)</f>
        <v>736716</v>
      </c>
      <c r="J13" s="67" t="n">
        <f aca="false">AVERAGE(J6:J12)</f>
        <v>0.882331321637915</v>
      </c>
      <c r="K13" s="68" t="n">
        <f aca="false">AVERAGE(K6:K12)</f>
        <v>0.884285714285714</v>
      </c>
    </row>
    <row r="16" customFormat="false" ht="15" hidden="false" customHeight="false" outlineLevel="0" collapsed="false">
      <c r="B16" s="30" t="s">
        <v>137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customFormat="false" ht="15" hidden="false" customHeight="false" outlineLevel="0" collapsed="false">
      <c r="B17" s="21" t="s">
        <v>138</v>
      </c>
      <c r="C17" s="21" t="s">
        <v>139</v>
      </c>
      <c r="D17" s="21" t="s">
        <v>140</v>
      </c>
      <c r="E17" s="21" t="s">
        <v>141</v>
      </c>
      <c r="F17" s="21" t="s">
        <v>142</v>
      </c>
      <c r="G17" s="21" t="s">
        <v>143</v>
      </c>
      <c r="H17" s="21" t="s">
        <v>144</v>
      </c>
      <c r="I17" s="21" t="s">
        <v>145</v>
      </c>
      <c r="J17" s="21" t="s">
        <v>146</v>
      </c>
      <c r="K17" s="21" t="s">
        <v>147</v>
      </c>
      <c r="L17" s="21" t="s">
        <v>148</v>
      </c>
      <c r="M17" s="21" t="s">
        <v>149</v>
      </c>
    </row>
    <row r="18" customFormat="false" ht="15" hidden="false" customHeight="false" outlineLevel="0" collapsed="false">
      <c r="B18" s="69" t="s">
        <v>52</v>
      </c>
      <c r="C18" s="56" t="n">
        <v>12.2</v>
      </c>
      <c r="D18" s="56" t="n">
        <v>12.1</v>
      </c>
      <c r="E18" s="56" t="n">
        <v>12.5</v>
      </c>
      <c r="F18" s="56" t="n">
        <v>12.8</v>
      </c>
      <c r="G18" s="56" t="n">
        <v>13</v>
      </c>
      <c r="H18" s="56" t="n">
        <v>13.2</v>
      </c>
      <c r="I18" s="56" t="n">
        <v>13.5</v>
      </c>
      <c r="J18" s="56" t="n">
        <v>13.4</v>
      </c>
      <c r="K18" s="56" t="n">
        <v>13.2</v>
      </c>
      <c r="L18" s="56" t="n">
        <v>12.9</v>
      </c>
      <c r="M18" s="56" t="n">
        <v>12.6</v>
      </c>
      <c r="N18" s="56" t="n">
        <v>12.3</v>
      </c>
    </row>
    <row r="19" customFormat="false" ht="15" hidden="false" customHeight="false" outlineLevel="0" collapsed="false">
      <c r="B19" s="70" t="s">
        <v>150</v>
      </c>
      <c r="C19" s="51" t="n">
        <v>4.8</v>
      </c>
      <c r="D19" s="51" t="n">
        <v>4.6</v>
      </c>
      <c r="E19" s="51" t="n">
        <v>5</v>
      </c>
      <c r="F19" s="51" t="n">
        <v>5.4</v>
      </c>
      <c r="G19" s="51" t="n">
        <v>5.8</v>
      </c>
      <c r="H19" s="51" t="n">
        <v>5.9</v>
      </c>
      <c r="I19" s="51" t="n">
        <v>5.7</v>
      </c>
      <c r="J19" s="51" t="n">
        <v>5.6</v>
      </c>
      <c r="K19" s="51" t="n">
        <v>5.2</v>
      </c>
      <c r="L19" s="51" t="n">
        <v>5</v>
      </c>
      <c r="M19" s="51" t="n">
        <v>4.9</v>
      </c>
      <c r="N19" s="51" t="n">
        <v>4.8</v>
      </c>
    </row>
    <row r="20" customFormat="false" ht="15" hidden="false" customHeight="false" outlineLevel="0" collapsed="false">
      <c r="B20" s="71" t="s">
        <v>151</v>
      </c>
      <c r="C20" s="72" t="n">
        <f aca="false">C18+C19</f>
        <v>17</v>
      </c>
      <c r="D20" s="72" t="n">
        <f aca="false">D18+D19</f>
        <v>16.7</v>
      </c>
      <c r="E20" s="72" t="n">
        <f aca="false">E18+E19</f>
        <v>17.5</v>
      </c>
      <c r="F20" s="72" t="n">
        <f aca="false">F18+F19</f>
        <v>18.2</v>
      </c>
      <c r="G20" s="72" t="n">
        <f aca="false">G18+G19</f>
        <v>18.8</v>
      </c>
      <c r="H20" s="72" t="n">
        <f aca="false">H18+H19</f>
        <v>19.1</v>
      </c>
      <c r="I20" s="72" t="n">
        <f aca="false">I18+I19</f>
        <v>19.2</v>
      </c>
      <c r="J20" s="72" t="n">
        <f aca="false">J18+J19</f>
        <v>19</v>
      </c>
      <c r="K20" s="72" t="n">
        <f aca="false">K18+K19</f>
        <v>18.4</v>
      </c>
      <c r="L20" s="72" t="n">
        <f aca="false">L18+L19</f>
        <v>17.9</v>
      </c>
      <c r="M20" s="72" t="n">
        <f aca="false">M18+M19</f>
        <v>17.5</v>
      </c>
      <c r="N20" s="72" t="n">
        <f aca="false">N18+N19</f>
        <v>17.1</v>
      </c>
    </row>
    <row r="21" customFormat="false" ht="15" hidden="false" customHeight="false" outlineLevel="0" collapsed="false">
      <c r="B21" s="70" t="s">
        <v>152</v>
      </c>
      <c r="C21" s="53" t="n">
        <v>1.39</v>
      </c>
      <c r="D21" s="53" t="n">
        <v>1.38</v>
      </c>
      <c r="E21" s="53" t="n">
        <v>1.4</v>
      </c>
      <c r="F21" s="53" t="n">
        <v>1.42</v>
      </c>
      <c r="G21" s="53" t="n">
        <v>1.45</v>
      </c>
      <c r="H21" s="53" t="n">
        <v>1.45</v>
      </c>
      <c r="I21" s="53" t="n">
        <v>1.42</v>
      </c>
      <c r="J21" s="53" t="n">
        <v>1.42</v>
      </c>
      <c r="K21" s="53" t="n">
        <v>1.39</v>
      </c>
      <c r="L21" s="53" t="n">
        <v>1.39</v>
      </c>
      <c r="M21" s="53" t="n">
        <v>1.39</v>
      </c>
      <c r="N21" s="53" t="n">
        <v>1.39</v>
      </c>
    </row>
    <row r="22" customFormat="false" ht="15" hidden="false" customHeight="false" outlineLevel="0" collapsed="false">
      <c r="B22" s="69" t="s">
        <v>123</v>
      </c>
      <c r="C22" s="56" t="n">
        <v>17.8</v>
      </c>
      <c r="D22" s="56" t="n">
        <v>17.5</v>
      </c>
      <c r="E22" s="56" t="n">
        <v>18</v>
      </c>
      <c r="F22" s="56" t="n">
        <v>18.6</v>
      </c>
      <c r="G22" s="56" t="n">
        <v>19.2</v>
      </c>
      <c r="H22" s="56" t="n">
        <v>19.5</v>
      </c>
      <c r="I22" s="56" t="n">
        <v>19.8</v>
      </c>
      <c r="J22" s="56" t="n">
        <v>19.6</v>
      </c>
      <c r="K22" s="56" t="n">
        <v>18.8</v>
      </c>
      <c r="L22" s="56" t="n">
        <v>18.2</v>
      </c>
      <c r="M22" s="56" t="n">
        <v>17.8</v>
      </c>
      <c r="N22" s="56" t="n">
        <v>17.5</v>
      </c>
    </row>
  </sheetData>
  <mergeCells count="4">
    <mergeCell ref="B1:M1"/>
    <mergeCell ref="B2:M2"/>
    <mergeCell ref="B4:M4"/>
    <mergeCell ref="B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2" min="9" style="0" width="14"/>
  </cols>
  <sheetData>
    <row r="1" customFormat="false" ht="30" hidden="false" customHeight="true" outlineLevel="0" collapsed="false">
      <c r="B1" s="73" t="s">
        <v>153</v>
      </c>
      <c r="C1" s="73"/>
      <c r="D1" s="73"/>
      <c r="E1" s="73"/>
      <c r="F1" s="73"/>
      <c r="G1" s="73"/>
      <c r="H1" s="73"/>
      <c r="I1" s="73"/>
      <c r="J1" s="73"/>
      <c r="K1" s="73"/>
      <c r="L1" s="73"/>
    </row>
    <row r="2" customFormat="false" ht="15" hidden="false" customHeight="false" outlineLevel="0" collapsed="false">
      <c r="B2" s="19" t="s">
        <v>154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15" hidden="false" customHeight="false" outlineLevel="0" collapsed="false">
      <c r="B4" s="30" t="s">
        <v>155</v>
      </c>
      <c r="C4" s="30"/>
      <c r="D4" s="30"/>
      <c r="E4" s="30"/>
      <c r="F4" s="30"/>
      <c r="G4" s="30"/>
      <c r="H4" s="30"/>
      <c r="I4" s="30"/>
      <c r="J4" s="30"/>
      <c r="K4" s="30"/>
      <c r="L4" s="30"/>
    </row>
    <row r="5" customFormat="false" ht="15" hidden="false" customHeight="false" outlineLevel="0" collapsed="false">
      <c r="B5" s="74" t="s">
        <v>119</v>
      </c>
      <c r="C5" s="74" t="s">
        <v>156</v>
      </c>
      <c r="D5" s="74" t="s">
        <v>157</v>
      </c>
      <c r="E5" s="74" t="s">
        <v>158</v>
      </c>
      <c r="F5" s="74" t="s">
        <v>159</v>
      </c>
      <c r="G5" s="74" t="s">
        <v>160</v>
      </c>
      <c r="H5" s="74" t="s">
        <v>161</v>
      </c>
      <c r="I5" s="74" t="s">
        <v>162</v>
      </c>
      <c r="J5" s="74" t="s">
        <v>163</v>
      </c>
      <c r="K5" s="74" t="s">
        <v>164</v>
      </c>
      <c r="L5" s="74" t="s">
        <v>165</v>
      </c>
    </row>
    <row r="6" customFormat="false" ht="15" hidden="false" customHeight="false" outlineLevel="0" collapsed="false">
      <c r="B6" s="22" t="s">
        <v>59</v>
      </c>
      <c r="C6" s="32" t="s">
        <v>166</v>
      </c>
      <c r="D6" s="33" t="n">
        <v>1842</v>
      </c>
      <c r="E6" s="33" t="n">
        <v>95000</v>
      </c>
      <c r="F6" s="55" t="s">
        <v>62</v>
      </c>
      <c r="G6" s="41" t="n">
        <v>8</v>
      </c>
      <c r="H6" s="54" t="n">
        <f aca="false">E6*(1-G6/100)</f>
        <v>87400</v>
      </c>
      <c r="I6" s="52" t="n">
        <f aca="false">H6*0.15</f>
        <v>13110</v>
      </c>
      <c r="J6" s="54" t="n">
        <f aca="false">I6*D6*0.85/1000</f>
        <v>20526.327</v>
      </c>
      <c r="K6" s="54" t="n">
        <f aca="false">J6*0.85</f>
        <v>17447.37795</v>
      </c>
      <c r="L6" s="75" t="n">
        <v>12</v>
      </c>
      <c r="M6" s="32" t="s">
        <v>167</v>
      </c>
    </row>
    <row r="7" customFormat="false" ht="15" hidden="false" customHeight="false" outlineLevel="0" collapsed="false">
      <c r="B7" s="26" t="s">
        <v>64</v>
      </c>
      <c r="C7" s="37" t="s">
        <v>168</v>
      </c>
      <c r="D7" s="38" t="n">
        <v>1756</v>
      </c>
      <c r="E7" s="38" t="n">
        <v>62000</v>
      </c>
      <c r="F7" s="60" t="s">
        <v>62</v>
      </c>
      <c r="G7" s="45" t="n">
        <v>10</v>
      </c>
      <c r="H7" s="59" t="n">
        <f aca="false">E7*(1-G7/100)</f>
        <v>55800</v>
      </c>
      <c r="I7" s="57" t="n">
        <f aca="false">H7*0.15</f>
        <v>8370</v>
      </c>
      <c r="J7" s="59" t="n">
        <f aca="false">I7*D7*0.85/1000</f>
        <v>12493.062</v>
      </c>
      <c r="K7" s="59" t="n">
        <f aca="false">J7*0.85</f>
        <v>10619.1027</v>
      </c>
      <c r="L7" s="45" t="n">
        <v>6</v>
      </c>
      <c r="M7" s="37" t="s">
        <v>169</v>
      </c>
    </row>
    <row r="8" customFormat="false" ht="15" hidden="false" customHeight="false" outlineLevel="0" collapsed="false">
      <c r="B8" s="22" t="s">
        <v>67</v>
      </c>
      <c r="C8" s="32" t="s">
        <v>170</v>
      </c>
      <c r="D8" s="33" t="n">
        <v>1824</v>
      </c>
      <c r="E8" s="33" t="n">
        <v>78000</v>
      </c>
      <c r="F8" s="55" t="s">
        <v>62</v>
      </c>
      <c r="G8" s="41" t="n">
        <v>9</v>
      </c>
      <c r="H8" s="54" t="n">
        <f aca="false">E8*(1-G8/100)</f>
        <v>70980</v>
      </c>
      <c r="I8" s="52" t="n">
        <f aca="false">H8*0.15</f>
        <v>10647</v>
      </c>
      <c r="J8" s="54" t="n">
        <f aca="false">I8*D8*0.85/1000</f>
        <v>16507.1088</v>
      </c>
      <c r="K8" s="54" t="n">
        <f aca="false">J8*0.85</f>
        <v>14031.04248</v>
      </c>
      <c r="L8" s="41" t="n">
        <v>8</v>
      </c>
      <c r="M8" s="32" t="s">
        <v>171</v>
      </c>
    </row>
    <row r="9" customFormat="false" ht="15" hidden="false" customHeight="false" outlineLevel="0" collapsed="false">
      <c r="B9" s="26" t="s">
        <v>70</v>
      </c>
      <c r="C9" s="37" t="s">
        <v>172</v>
      </c>
      <c r="D9" s="38" t="n">
        <v>1915</v>
      </c>
      <c r="E9" s="38" t="n">
        <v>110000</v>
      </c>
      <c r="F9" s="60" t="s">
        <v>62</v>
      </c>
      <c r="G9" s="45" t="n">
        <v>7</v>
      </c>
      <c r="H9" s="59" t="n">
        <f aca="false">E9*(1-G9/100)</f>
        <v>102300</v>
      </c>
      <c r="I9" s="57" t="n">
        <f aca="false">H9*0.15</f>
        <v>15345</v>
      </c>
      <c r="J9" s="59" t="n">
        <f aca="false">I9*D9*0.85/1000</f>
        <v>24977.82375</v>
      </c>
      <c r="K9" s="59" t="n">
        <f aca="false">J9*0.85</f>
        <v>21231.1501875</v>
      </c>
      <c r="L9" s="45" t="n">
        <v>5</v>
      </c>
      <c r="M9" s="37" t="s">
        <v>173</v>
      </c>
    </row>
    <row r="10" customFormat="false" ht="15" hidden="false" customHeight="false" outlineLevel="0" collapsed="false">
      <c r="B10" s="22" t="s">
        <v>74</v>
      </c>
      <c r="C10" s="32" t="s">
        <v>174</v>
      </c>
      <c r="D10" s="33" t="n">
        <v>1680</v>
      </c>
      <c r="E10" s="33" t="n">
        <v>55000</v>
      </c>
      <c r="F10" s="61" t="s">
        <v>133</v>
      </c>
      <c r="G10" s="41" t="n">
        <v>11</v>
      </c>
      <c r="H10" s="54" t="n">
        <f aca="false">E10*(1-G10/100)</f>
        <v>48950</v>
      </c>
      <c r="I10" s="52" t="n">
        <f aca="false">H10*0.15</f>
        <v>7342.5</v>
      </c>
      <c r="J10" s="54" t="n">
        <f aca="false">I10*D10*0.85/1000</f>
        <v>10485.09</v>
      </c>
      <c r="K10" s="54" t="n">
        <f aca="false">J10*0.85</f>
        <v>8912.3265</v>
      </c>
      <c r="L10" s="41" t="n">
        <v>9</v>
      </c>
      <c r="M10" s="32" t="s">
        <v>175</v>
      </c>
    </row>
    <row r="11" customFormat="false" ht="15" hidden="false" customHeight="false" outlineLevel="0" collapsed="false">
      <c r="B11" s="26" t="s">
        <v>77</v>
      </c>
      <c r="C11" s="37" t="s">
        <v>176</v>
      </c>
      <c r="D11" s="38" t="n">
        <v>1524</v>
      </c>
      <c r="E11" s="38" t="n">
        <v>28000</v>
      </c>
      <c r="F11" s="62" t="s">
        <v>69</v>
      </c>
      <c r="G11" s="45" t="n">
        <v>15</v>
      </c>
      <c r="H11" s="59" t="n">
        <f aca="false">E11*(1-G11/100)</f>
        <v>23800</v>
      </c>
      <c r="I11" s="57" t="n">
        <f aca="false">H11*0.15</f>
        <v>3570</v>
      </c>
      <c r="J11" s="59" t="n">
        <f aca="false">I11*D11*0.85/1000</f>
        <v>4624.578</v>
      </c>
      <c r="K11" s="59" t="n">
        <f aca="false">J11*0.85</f>
        <v>3930.8913</v>
      </c>
      <c r="L11" s="76" t="n">
        <v>14</v>
      </c>
      <c r="M11" s="37" t="s">
        <v>177</v>
      </c>
    </row>
    <row r="12" customFormat="false" ht="15" hidden="false" customHeight="false" outlineLevel="0" collapsed="false">
      <c r="B12" s="22" t="s">
        <v>79</v>
      </c>
      <c r="C12" s="32" t="s">
        <v>178</v>
      </c>
      <c r="D12" s="33" t="n">
        <v>1794</v>
      </c>
      <c r="E12" s="33" t="n">
        <v>18000</v>
      </c>
      <c r="F12" s="55" t="s">
        <v>62</v>
      </c>
      <c r="G12" s="41" t="n">
        <v>8</v>
      </c>
      <c r="H12" s="54" t="n">
        <f aca="false">E12*(1-G12/100)</f>
        <v>16560</v>
      </c>
      <c r="I12" s="52" t="n">
        <f aca="false">H12*0.15</f>
        <v>2484</v>
      </c>
      <c r="J12" s="54" t="n">
        <f aca="false">I12*D12*0.85/1000</f>
        <v>3787.8516</v>
      </c>
      <c r="K12" s="54" t="n">
        <f aca="false">J12*0.85</f>
        <v>3219.67386</v>
      </c>
      <c r="L12" s="41" t="n">
        <v>7</v>
      </c>
      <c r="M12" s="32" t="s">
        <v>179</v>
      </c>
    </row>
    <row r="15" customFormat="false" ht="15" hidden="false" customHeight="false" outlineLevel="0" collapsed="false">
      <c r="B15" s="30" t="s">
        <v>180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customFormat="false" ht="15" hidden="false" customHeight="false" outlineLevel="0" collapsed="false">
      <c r="B16" s="74" t="s">
        <v>119</v>
      </c>
      <c r="C16" s="74" t="s">
        <v>181</v>
      </c>
      <c r="D16" s="74" t="s">
        <v>182</v>
      </c>
      <c r="E16" s="74" t="s">
        <v>183</v>
      </c>
      <c r="F16" s="74" t="s">
        <v>184</v>
      </c>
      <c r="G16" s="74" t="s">
        <v>185</v>
      </c>
      <c r="H16" s="74" t="s">
        <v>186</v>
      </c>
      <c r="I16" s="74" t="s">
        <v>187</v>
      </c>
      <c r="J16" s="74" t="s">
        <v>188</v>
      </c>
    </row>
    <row r="17" customFormat="false" ht="15" hidden="false" customHeight="false" outlineLevel="0" collapsed="false">
      <c r="B17" s="22" t="s">
        <v>59</v>
      </c>
      <c r="C17" s="22" t="s">
        <v>189</v>
      </c>
      <c r="D17" s="33" t="n">
        <v>45</v>
      </c>
      <c r="E17" s="41" t="n">
        <v>32.5</v>
      </c>
      <c r="F17" s="77" t="s">
        <v>190</v>
      </c>
      <c r="G17" s="22" t="s">
        <v>62</v>
      </c>
      <c r="H17" s="41" t="n">
        <v>3.8</v>
      </c>
      <c r="I17" s="51" t="n">
        <v>15</v>
      </c>
      <c r="J17" s="54" t="n">
        <f aca="false">I17*8760*0.292</f>
        <v>38368.8</v>
      </c>
      <c r="K17" s="43" t="s">
        <v>191</v>
      </c>
    </row>
    <row r="18" customFormat="false" ht="15" hidden="false" customHeight="false" outlineLevel="0" collapsed="false">
      <c r="B18" s="26" t="s">
        <v>64</v>
      </c>
      <c r="C18" s="26" t="s">
        <v>192</v>
      </c>
      <c r="D18" s="38" t="n">
        <v>210</v>
      </c>
      <c r="E18" s="45" t="n">
        <v>28</v>
      </c>
      <c r="F18" s="50" t="s">
        <v>193</v>
      </c>
      <c r="G18" s="26" t="s">
        <v>69</v>
      </c>
      <c r="H18" s="45" t="n">
        <v>5.2</v>
      </c>
      <c r="I18" s="56" t="n">
        <v>0</v>
      </c>
      <c r="J18" s="59" t="n">
        <v>0</v>
      </c>
      <c r="K18" s="78" t="s">
        <v>194</v>
      </c>
    </row>
    <row r="19" customFormat="false" ht="15" hidden="false" customHeight="false" outlineLevel="0" collapsed="false">
      <c r="B19" s="22" t="s">
        <v>67</v>
      </c>
      <c r="C19" s="22" t="s">
        <v>195</v>
      </c>
      <c r="D19" s="33" t="n">
        <v>180</v>
      </c>
      <c r="E19" s="41" t="n">
        <v>26.8</v>
      </c>
      <c r="F19" s="77" t="s">
        <v>190</v>
      </c>
      <c r="G19" s="22" t="s">
        <v>62</v>
      </c>
      <c r="H19" s="41" t="n">
        <v>4.5</v>
      </c>
      <c r="I19" s="51" t="n">
        <v>10</v>
      </c>
      <c r="J19" s="54" t="n">
        <f aca="false">I19*8760*0.292</f>
        <v>25579.2</v>
      </c>
      <c r="K19" s="43" t="s">
        <v>196</v>
      </c>
    </row>
    <row r="20" customFormat="false" ht="15" hidden="false" customHeight="false" outlineLevel="0" collapsed="false">
      <c r="B20" s="26" t="s">
        <v>70</v>
      </c>
      <c r="C20" s="26" t="s">
        <v>197</v>
      </c>
      <c r="D20" s="38" t="n">
        <v>95</v>
      </c>
      <c r="E20" s="45" t="n">
        <v>29.2</v>
      </c>
      <c r="F20" s="77" t="s">
        <v>190</v>
      </c>
      <c r="G20" s="26" t="s">
        <v>62</v>
      </c>
      <c r="H20" s="45" t="n">
        <v>3.2</v>
      </c>
      <c r="I20" s="56" t="n">
        <v>12</v>
      </c>
      <c r="J20" s="59" t="n">
        <f aca="false">I20*8760*0.292</f>
        <v>30695.04</v>
      </c>
      <c r="K20" s="47" t="s">
        <v>191</v>
      </c>
    </row>
    <row r="21" customFormat="false" ht="15" hidden="false" customHeight="false" outlineLevel="0" collapsed="false">
      <c r="B21" s="22" t="s">
        <v>74</v>
      </c>
      <c r="C21" s="22" t="s">
        <v>189</v>
      </c>
      <c r="D21" s="33" t="n">
        <v>155</v>
      </c>
      <c r="E21" s="41" t="n">
        <v>24.1</v>
      </c>
      <c r="F21" s="50" t="s">
        <v>193</v>
      </c>
      <c r="G21" s="22" t="s">
        <v>69</v>
      </c>
      <c r="H21" s="41" t="n">
        <v>4.8</v>
      </c>
      <c r="I21" s="51" t="n">
        <v>0</v>
      </c>
      <c r="J21" s="54" t="n">
        <v>0</v>
      </c>
      <c r="K21" s="79" t="s">
        <v>198</v>
      </c>
    </row>
    <row r="22" customFormat="false" ht="15" hidden="false" customHeight="false" outlineLevel="0" collapsed="false">
      <c r="B22" s="26" t="s">
        <v>77</v>
      </c>
      <c r="C22" s="26" t="s">
        <v>199</v>
      </c>
      <c r="D22" s="38" t="n">
        <v>85</v>
      </c>
      <c r="E22" s="45" t="n">
        <v>18.5</v>
      </c>
      <c r="F22" s="50" t="s">
        <v>193</v>
      </c>
      <c r="G22" s="26" t="s">
        <v>69</v>
      </c>
      <c r="H22" s="45" t="n">
        <v>6.1</v>
      </c>
      <c r="I22" s="56" t="n">
        <v>0</v>
      </c>
      <c r="J22" s="59" t="n">
        <v>0</v>
      </c>
      <c r="K22" s="78" t="s">
        <v>198</v>
      </c>
    </row>
    <row r="23" customFormat="false" ht="15" hidden="false" customHeight="false" outlineLevel="0" collapsed="false">
      <c r="B23" s="22" t="s">
        <v>79</v>
      </c>
      <c r="C23" s="22" t="s">
        <v>200</v>
      </c>
      <c r="D23" s="33" t="n">
        <v>220</v>
      </c>
      <c r="E23" s="41" t="n">
        <v>22</v>
      </c>
      <c r="F23" s="50" t="s">
        <v>193</v>
      </c>
      <c r="G23" s="22" t="s">
        <v>69</v>
      </c>
      <c r="H23" s="41" t="n">
        <v>5.5</v>
      </c>
      <c r="I23" s="51" t="n">
        <v>0</v>
      </c>
      <c r="J23" s="54" t="n">
        <v>0</v>
      </c>
      <c r="K23" s="79" t="s">
        <v>201</v>
      </c>
    </row>
  </sheetData>
  <mergeCells count="4">
    <mergeCell ref="B1:L1"/>
    <mergeCell ref="B2:L2"/>
    <mergeCell ref="B4:L4"/>
    <mergeCell ref="B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1" min="3" style="0" width="13"/>
  </cols>
  <sheetData>
    <row r="1" customFormat="false" ht="30" hidden="false" customHeight="true" outlineLevel="0" collapsed="false">
      <c r="B1" s="80" t="s">
        <v>202</v>
      </c>
      <c r="C1" s="80"/>
      <c r="D1" s="80"/>
      <c r="E1" s="80"/>
      <c r="F1" s="80"/>
      <c r="G1" s="80"/>
      <c r="H1" s="80"/>
      <c r="I1" s="80"/>
      <c r="J1" s="80"/>
      <c r="K1" s="80"/>
    </row>
    <row r="2" customFormat="false" ht="15" hidden="false" customHeight="false" outlineLevel="0" collapsed="false">
      <c r="B2" s="19" t="s">
        <v>203</v>
      </c>
      <c r="C2" s="19"/>
      <c r="D2" s="19"/>
      <c r="E2" s="19"/>
      <c r="F2" s="19"/>
      <c r="G2" s="19"/>
      <c r="H2" s="19"/>
      <c r="I2" s="19"/>
      <c r="J2" s="19"/>
      <c r="K2" s="19"/>
    </row>
    <row r="4" customFormat="false" ht="15" hidden="false" customHeight="false" outlineLevel="0" collapsed="false">
      <c r="B4" s="30" t="s">
        <v>204</v>
      </c>
      <c r="C4" s="30"/>
      <c r="D4" s="30"/>
      <c r="E4" s="30"/>
      <c r="F4" s="30"/>
      <c r="G4" s="30"/>
      <c r="H4" s="30"/>
      <c r="I4" s="30"/>
      <c r="J4" s="30"/>
      <c r="K4" s="30"/>
    </row>
    <row r="5" customFormat="false" ht="15" hidden="false" customHeight="false" outlineLevel="0" collapsed="false">
      <c r="B5" s="81" t="s">
        <v>119</v>
      </c>
      <c r="C5" s="81" t="s">
        <v>205</v>
      </c>
      <c r="D5" s="81" t="s">
        <v>206</v>
      </c>
      <c r="E5" s="81" t="s">
        <v>207</v>
      </c>
      <c r="F5" s="81" t="s">
        <v>208</v>
      </c>
      <c r="G5" s="81" t="s">
        <v>209</v>
      </c>
      <c r="H5" s="81" t="s">
        <v>210</v>
      </c>
      <c r="I5" s="81" t="s">
        <v>211</v>
      </c>
      <c r="J5" s="81" t="s">
        <v>212</v>
      </c>
      <c r="K5" s="81" t="s">
        <v>213</v>
      </c>
    </row>
    <row r="6" customFormat="false" ht="15" hidden="false" customHeight="false" outlineLevel="0" collapsed="false">
      <c r="B6" s="22" t="s">
        <v>59</v>
      </c>
      <c r="C6" s="51" t="n">
        <v>28</v>
      </c>
      <c r="D6" s="33" t="n">
        <v>120</v>
      </c>
      <c r="E6" s="51" t="n">
        <v>30</v>
      </c>
      <c r="F6" s="82" t="n">
        <f aca="false">E6/D6</f>
        <v>0.25</v>
      </c>
      <c r="G6" s="22" t="s">
        <v>214</v>
      </c>
      <c r="H6" s="33" t="n">
        <v>90</v>
      </c>
      <c r="I6" s="41" t="n">
        <v>0.74</v>
      </c>
      <c r="J6" s="34" t="n">
        <f aca="false">1-I6</f>
        <v>0.26</v>
      </c>
      <c r="K6" s="35" t="n">
        <v>12</v>
      </c>
      <c r="L6" s="83" t="n">
        <f aca="false">D6*4.2+C6*3.8</f>
        <v>610.4</v>
      </c>
    </row>
    <row r="7" customFormat="false" ht="15" hidden="false" customHeight="false" outlineLevel="0" collapsed="false">
      <c r="B7" s="26" t="s">
        <v>64</v>
      </c>
      <c r="C7" s="56" t="n">
        <v>18</v>
      </c>
      <c r="D7" s="38" t="n">
        <v>80</v>
      </c>
      <c r="E7" s="56" t="n">
        <v>20</v>
      </c>
      <c r="F7" s="84" t="n">
        <f aca="false">E7/D7</f>
        <v>0.25</v>
      </c>
      <c r="G7" s="26" t="s">
        <v>214</v>
      </c>
      <c r="H7" s="38" t="n">
        <v>60</v>
      </c>
      <c r="I7" s="45" t="n">
        <v>0.68</v>
      </c>
      <c r="J7" s="39" t="n">
        <f aca="false">1-I7</f>
        <v>0.32</v>
      </c>
      <c r="K7" s="40" t="n">
        <v>12</v>
      </c>
      <c r="L7" s="85" t="n">
        <f aca="false">D7*4.2+C7*3.8</f>
        <v>404.4</v>
      </c>
    </row>
    <row r="8" customFormat="false" ht="15" hidden="false" customHeight="false" outlineLevel="0" collapsed="false">
      <c r="B8" s="22" t="s">
        <v>67</v>
      </c>
      <c r="C8" s="51" t="n">
        <v>22</v>
      </c>
      <c r="D8" s="33" t="n">
        <v>100</v>
      </c>
      <c r="E8" s="51" t="n">
        <v>25</v>
      </c>
      <c r="F8" s="82" t="n">
        <f aca="false">E8/D8</f>
        <v>0.25</v>
      </c>
      <c r="G8" s="22" t="s">
        <v>214</v>
      </c>
      <c r="H8" s="33" t="n">
        <v>75</v>
      </c>
      <c r="I8" s="41" t="n">
        <v>0.71</v>
      </c>
      <c r="J8" s="34" t="n">
        <f aca="false">1-I8</f>
        <v>0.29</v>
      </c>
      <c r="K8" s="35" t="n">
        <v>11</v>
      </c>
      <c r="L8" s="83" t="n">
        <f aca="false">D8*4.2+C8*3.8</f>
        <v>503.6</v>
      </c>
    </row>
    <row r="9" customFormat="false" ht="15" hidden="false" customHeight="false" outlineLevel="0" collapsed="false">
      <c r="B9" s="26" t="s">
        <v>70</v>
      </c>
      <c r="C9" s="56" t="n">
        <v>35</v>
      </c>
      <c r="D9" s="38" t="n">
        <v>150</v>
      </c>
      <c r="E9" s="56" t="n">
        <v>38</v>
      </c>
      <c r="F9" s="84" t="n">
        <f aca="false">E9/D9</f>
        <v>0.253333333333333</v>
      </c>
      <c r="G9" s="26" t="s">
        <v>214</v>
      </c>
      <c r="H9" s="38" t="n">
        <v>120</v>
      </c>
      <c r="I9" s="45" t="n">
        <v>0.76</v>
      </c>
      <c r="J9" s="39" t="n">
        <f aca="false">1-I9</f>
        <v>0.24</v>
      </c>
      <c r="K9" s="40" t="n">
        <v>12</v>
      </c>
      <c r="L9" s="85" t="n">
        <f aca="false">D9*4.2+C9*3.8</f>
        <v>763</v>
      </c>
    </row>
    <row r="10" customFormat="false" ht="15" hidden="false" customHeight="false" outlineLevel="0" collapsed="false">
      <c r="B10" s="22" t="s">
        <v>74</v>
      </c>
      <c r="C10" s="51" t="n">
        <v>15</v>
      </c>
      <c r="D10" s="33" t="n">
        <v>65</v>
      </c>
      <c r="E10" s="51" t="n">
        <v>16</v>
      </c>
      <c r="F10" s="82" t="n">
        <f aca="false">E10/D10</f>
        <v>0.246153846153846</v>
      </c>
      <c r="G10" s="22" t="s">
        <v>214</v>
      </c>
      <c r="H10" s="33" t="n">
        <v>48</v>
      </c>
      <c r="I10" s="41" t="n">
        <v>0.65</v>
      </c>
      <c r="J10" s="34" t="n">
        <f aca="false">1-I10</f>
        <v>0.35</v>
      </c>
      <c r="K10" s="35" t="n">
        <v>11</v>
      </c>
      <c r="L10" s="83" t="n">
        <f aca="false">D10*4.2+C10*3.8</f>
        <v>330</v>
      </c>
    </row>
    <row r="11" customFormat="false" ht="15" hidden="false" customHeight="false" outlineLevel="0" collapsed="false">
      <c r="B11" s="26" t="s">
        <v>77</v>
      </c>
      <c r="C11" s="56" t="n">
        <v>8</v>
      </c>
      <c r="D11" s="38" t="n">
        <v>35</v>
      </c>
      <c r="E11" s="56" t="n">
        <v>9</v>
      </c>
      <c r="F11" s="84" t="n">
        <f aca="false">E11/D11</f>
        <v>0.257142857142857</v>
      </c>
      <c r="G11" s="26" t="s">
        <v>214</v>
      </c>
      <c r="H11" s="38" t="n">
        <v>30</v>
      </c>
      <c r="I11" s="45" t="n">
        <v>0.58</v>
      </c>
      <c r="J11" s="39" t="n">
        <f aca="false">1-I11</f>
        <v>0.42</v>
      </c>
      <c r="K11" s="40" t="n">
        <v>10</v>
      </c>
      <c r="L11" s="85" t="n">
        <f aca="false">D11*4.2+C11*3.8</f>
        <v>177.4</v>
      </c>
    </row>
    <row r="12" customFormat="false" ht="15" hidden="false" customHeight="false" outlineLevel="0" collapsed="false">
      <c r="B12" s="22" t="s">
        <v>79</v>
      </c>
      <c r="C12" s="51" t="n">
        <v>5</v>
      </c>
      <c r="D12" s="33" t="n">
        <v>20</v>
      </c>
      <c r="E12" s="51" t="n">
        <v>5</v>
      </c>
      <c r="F12" s="82" t="n">
        <f aca="false">E12/D12</f>
        <v>0.25</v>
      </c>
      <c r="G12" s="22" t="s">
        <v>214</v>
      </c>
      <c r="H12" s="33" t="n">
        <v>20</v>
      </c>
      <c r="I12" s="41" t="n">
        <v>0.6</v>
      </c>
      <c r="J12" s="34" t="n">
        <f aca="false">1-I12</f>
        <v>0.4</v>
      </c>
      <c r="K12" s="35" t="n">
        <v>10</v>
      </c>
      <c r="L12" s="83" t="n">
        <f aca="false">D12*4.2+C12*3.8</f>
        <v>103</v>
      </c>
    </row>
    <row r="13" customFormat="false" ht="15" hidden="false" customHeight="false" outlineLevel="0" collapsed="false">
      <c r="B13" s="81" t="s">
        <v>136</v>
      </c>
      <c r="C13" s="86" t="n">
        <f aca="false">SUM(C6:C12)</f>
        <v>131</v>
      </c>
      <c r="D13" s="87" t="n">
        <f aca="false">SUM(D6:D12)</f>
        <v>570</v>
      </c>
      <c r="E13" s="86" t="n">
        <f aca="false">SUM(E6:E12)</f>
        <v>143</v>
      </c>
      <c r="L13" s="88" t="n">
        <f aca="false">SUM(L6:L12)</f>
        <v>2891.8</v>
      </c>
    </row>
    <row r="16" customFormat="false" ht="15" hidden="false" customHeight="false" outlineLevel="0" collapsed="false">
      <c r="B16" s="30" t="s">
        <v>215</v>
      </c>
      <c r="C16" s="30"/>
      <c r="D16" s="30"/>
      <c r="E16" s="30"/>
      <c r="F16" s="30"/>
      <c r="G16" s="30"/>
      <c r="H16" s="30"/>
      <c r="I16" s="30"/>
      <c r="J16" s="30"/>
      <c r="K16" s="30"/>
    </row>
    <row r="17" customFormat="false" ht="15" hidden="false" customHeight="false" outlineLevel="0" collapsed="false">
      <c r="B17" s="81" t="s">
        <v>216</v>
      </c>
      <c r="C17" s="81" t="s">
        <v>217</v>
      </c>
      <c r="D17" s="81" t="s">
        <v>218</v>
      </c>
      <c r="E17" s="81" t="s">
        <v>219</v>
      </c>
      <c r="F17" s="81" t="s">
        <v>220</v>
      </c>
      <c r="G17" s="81" t="s">
        <v>221</v>
      </c>
      <c r="H17" s="81" t="s">
        <v>222</v>
      </c>
      <c r="I17" s="81" t="s">
        <v>223</v>
      </c>
      <c r="J17" s="81" t="s">
        <v>224</v>
      </c>
      <c r="K17" s="81" t="s">
        <v>225</v>
      </c>
      <c r="L17" s="81" t="s">
        <v>226</v>
      </c>
    </row>
    <row r="18" customFormat="false" ht="15" hidden="false" customHeight="false" outlineLevel="0" collapsed="false">
      <c r="B18" s="89" t="s">
        <v>227</v>
      </c>
      <c r="C18" s="90" t="n">
        <v>1</v>
      </c>
      <c r="D18" s="90" t="n">
        <v>0.99</v>
      </c>
      <c r="E18" s="90" t="n">
        <v>0.98</v>
      </c>
      <c r="F18" s="90" t="n">
        <v>0.97</v>
      </c>
      <c r="G18" s="90" t="n">
        <v>0.96</v>
      </c>
      <c r="H18" s="90" t="n">
        <v>0.95</v>
      </c>
      <c r="I18" s="90" t="n">
        <v>0.93</v>
      </c>
      <c r="J18" s="90" t="n">
        <v>0.91</v>
      </c>
      <c r="K18" s="90" t="n">
        <v>0.89</v>
      </c>
      <c r="L18" s="90" t="n">
        <v>0.87</v>
      </c>
      <c r="M18" s="90" t="n">
        <v>0.85</v>
      </c>
      <c r="N18" s="90" t="n">
        <v>0.83</v>
      </c>
    </row>
    <row r="19" customFormat="false" ht="15" hidden="false" customHeight="false" outlineLevel="0" collapsed="false">
      <c r="B19" s="70" t="s">
        <v>228</v>
      </c>
      <c r="C19" s="91" t="n">
        <v>570</v>
      </c>
      <c r="D19" s="91" t="n">
        <v>564</v>
      </c>
      <c r="E19" s="91" t="n">
        <v>559</v>
      </c>
      <c r="F19" s="91" t="n">
        <v>553</v>
      </c>
      <c r="G19" s="91" t="n">
        <v>547</v>
      </c>
      <c r="H19" s="91" t="n">
        <v>542</v>
      </c>
      <c r="I19" s="91" t="n">
        <v>530</v>
      </c>
      <c r="J19" s="91" t="n">
        <v>519</v>
      </c>
      <c r="K19" s="91" t="n">
        <v>508</v>
      </c>
      <c r="L19" s="91" t="n">
        <v>496</v>
      </c>
      <c r="M19" s="91" t="n">
        <v>485</v>
      </c>
      <c r="N19" s="91" t="n">
        <v>473</v>
      </c>
    </row>
    <row r="20" customFormat="false" ht="15" hidden="false" customHeight="false" outlineLevel="0" collapsed="false">
      <c r="B20" s="89" t="s">
        <v>229</v>
      </c>
      <c r="C20" s="92" t="n">
        <v>0</v>
      </c>
      <c r="D20" s="92" t="n">
        <v>6</v>
      </c>
      <c r="E20" s="92" t="n">
        <v>11</v>
      </c>
      <c r="F20" s="92" t="n">
        <v>17</v>
      </c>
      <c r="G20" s="92" t="n">
        <v>23</v>
      </c>
      <c r="H20" s="92" t="n">
        <v>28</v>
      </c>
      <c r="I20" s="92" t="n">
        <v>40</v>
      </c>
      <c r="J20" s="92" t="n">
        <v>51</v>
      </c>
      <c r="K20" s="92" t="n">
        <v>62</v>
      </c>
      <c r="L20" s="92" t="n">
        <v>74</v>
      </c>
      <c r="M20" s="92" t="n">
        <v>85</v>
      </c>
      <c r="N20" s="92" t="n">
        <v>97</v>
      </c>
    </row>
    <row r="21" customFormat="false" ht="15" hidden="false" customHeight="false" outlineLevel="0" collapsed="false">
      <c r="B21" s="70" t="s">
        <v>230</v>
      </c>
      <c r="C21" s="91" t="n">
        <v>0</v>
      </c>
      <c r="D21" s="91" t="n">
        <v>0</v>
      </c>
      <c r="E21" s="91" t="n">
        <v>0</v>
      </c>
      <c r="F21" s="91" t="n">
        <v>0</v>
      </c>
      <c r="G21" s="91" t="n">
        <v>0</v>
      </c>
      <c r="H21" s="91" t="n">
        <v>0</v>
      </c>
      <c r="I21" s="91" t="n">
        <v>0</v>
      </c>
      <c r="J21" s="91" t="n">
        <v>0</v>
      </c>
      <c r="K21" s="91" t="n">
        <v>0</v>
      </c>
      <c r="L21" s="91" t="n">
        <v>0</v>
      </c>
      <c r="M21" s="23" t="n">
        <v>42</v>
      </c>
      <c r="N21" s="91" t="n">
        <v>0</v>
      </c>
    </row>
  </sheetData>
  <mergeCells count="4">
    <mergeCell ref="B1:K1"/>
    <mergeCell ref="B2:K2"/>
    <mergeCell ref="B4:K4"/>
    <mergeCell ref="B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3" min="3" style="0" width="14"/>
  </cols>
  <sheetData>
    <row r="1" customFormat="false" ht="30" hidden="false" customHeight="true" outlineLevel="0" collapsed="false">
      <c r="B1" s="93" t="s">
        <v>231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customFormat="false" ht="15" hidden="false" customHeight="false" outlineLevel="0" collapsed="false">
      <c r="B2" s="19" t="s">
        <v>232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customFormat="false" ht="15" hidden="false" customHeight="false" outlineLevel="0" collapsed="false">
      <c r="B4" s="30" t="s">
        <v>233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customFormat="false" ht="15" hidden="false" customHeight="false" outlineLevel="0" collapsed="false">
      <c r="B5" s="94" t="s">
        <v>234</v>
      </c>
      <c r="C5" s="94" t="s">
        <v>235</v>
      </c>
      <c r="D5" s="94" t="s">
        <v>236</v>
      </c>
      <c r="E5" s="94" t="s">
        <v>237</v>
      </c>
      <c r="F5" s="94"/>
      <c r="G5" s="94" t="s">
        <v>238</v>
      </c>
      <c r="H5" s="94"/>
      <c r="I5" s="94" t="s">
        <v>239</v>
      </c>
      <c r="J5" s="94"/>
    </row>
    <row r="6" customFormat="false" ht="15" hidden="false" customHeight="false" outlineLevel="0" collapsed="false">
      <c r="B6" s="95" t="s">
        <v>240</v>
      </c>
      <c r="C6" s="96" t="n">
        <v>7.5</v>
      </c>
      <c r="D6" s="97" t="s">
        <v>241</v>
      </c>
    </row>
    <row r="7" customFormat="false" ht="15" hidden="false" customHeight="false" outlineLevel="0" collapsed="false">
      <c r="B7" s="70" t="s">
        <v>242</v>
      </c>
      <c r="C7" s="98" t="n">
        <v>0.04</v>
      </c>
      <c r="D7" s="99" t="s">
        <v>243</v>
      </c>
    </row>
    <row r="8" customFormat="false" ht="15" hidden="false" customHeight="false" outlineLevel="0" collapsed="false">
      <c r="B8" s="95" t="s">
        <v>244</v>
      </c>
      <c r="C8" s="98" t="n">
        <v>0.07</v>
      </c>
      <c r="D8" s="97" t="s">
        <v>245</v>
      </c>
    </row>
    <row r="9" customFormat="false" ht="15" hidden="false" customHeight="false" outlineLevel="0" collapsed="false">
      <c r="B9" s="70" t="s">
        <v>246</v>
      </c>
      <c r="C9" s="98" t="n">
        <v>0.1</v>
      </c>
      <c r="D9" s="99" t="s">
        <v>247</v>
      </c>
    </row>
    <row r="10" customFormat="false" ht="15" hidden="false" customHeight="false" outlineLevel="0" collapsed="false">
      <c r="B10" s="95" t="s">
        <v>248</v>
      </c>
      <c r="C10" s="96" t="n">
        <v>3.8</v>
      </c>
      <c r="D10" s="97" t="s">
        <v>249</v>
      </c>
    </row>
    <row r="11" customFormat="false" ht="15" hidden="false" customHeight="false" outlineLevel="0" collapsed="false">
      <c r="B11" s="70" t="s">
        <v>250</v>
      </c>
      <c r="C11" s="96" t="n">
        <v>4.2</v>
      </c>
      <c r="D11" s="99" t="s">
        <v>251</v>
      </c>
    </row>
    <row r="12" customFormat="false" ht="15" hidden="false" customHeight="false" outlineLevel="0" collapsed="false">
      <c r="B12" s="95" t="s">
        <v>252</v>
      </c>
      <c r="C12" s="96" t="n">
        <v>2.8</v>
      </c>
      <c r="D12" s="97" t="s">
        <v>253</v>
      </c>
    </row>
    <row r="13" customFormat="false" ht="15" hidden="false" customHeight="false" outlineLevel="0" collapsed="false">
      <c r="B13" s="70" t="s">
        <v>254</v>
      </c>
      <c r="C13" s="98" t="n">
        <v>0.065</v>
      </c>
      <c r="D13" s="99" t="s">
        <v>255</v>
      </c>
    </row>
    <row r="14" customFormat="false" ht="15" hidden="false" customHeight="false" outlineLevel="0" collapsed="false">
      <c r="B14" s="95" t="s">
        <v>256</v>
      </c>
      <c r="C14" s="98" t="n">
        <v>0.1</v>
      </c>
      <c r="D14" s="97" t="s">
        <v>257</v>
      </c>
    </row>
    <row r="15" customFormat="false" ht="15" hidden="false" customHeight="false" outlineLevel="0" collapsed="false">
      <c r="B15" s="70" t="s">
        <v>258</v>
      </c>
      <c r="C15" s="98" t="n">
        <v>0.015</v>
      </c>
      <c r="D15" s="99" t="s">
        <v>259</v>
      </c>
    </row>
    <row r="16" customFormat="false" ht="15" hidden="false" customHeight="false" outlineLevel="0" collapsed="false">
      <c r="B16" s="95" t="s">
        <v>260</v>
      </c>
      <c r="C16" s="98" t="n">
        <v>0.82</v>
      </c>
      <c r="D16" s="97" t="s">
        <v>261</v>
      </c>
    </row>
    <row r="17" customFormat="false" ht="15" hidden="false" customHeight="false" outlineLevel="0" collapsed="false">
      <c r="B17" s="70" t="s">
        <v>262</v>
      </c>
      <c r="C17" s="96" t="n">
        <v>1000</v>
      </c>
      <c r="D17" s="99" t="s">
        <v>263</v>
      </c>
    </row>
    <row r="20" customFormat="false" ht="15" hidden="false" customHeight="false" outlineLevel="0" collapsed="false">
      <c r="B20" s="30" t="s">
        <v>264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customFormat="false" ht="15" hidden="false" customHeight="false" outlineLevel="0" collapsed="false">
      <c r="B21" s="94" t="s">
        <v>216</v>
      </c>
      <c r="C21" s="94" t="s">
        <v>265</v>
      </c>
      <c r="D21" s="94" t="s">
        <v>266</v>
      </c>
      <c r="E21" s="94" t="s">
        <v>267</v>
      </c>
      <c r="F21" s="94" t="s">
        <v>268</v>
      </c>
      <c r="G21" s="94" t="s">
        <v>269</v>
      </c>
      <c r="H21" s="94" t="s">
        <v>270</v>
      </c>
      <c r="I21" s="94" t="s">
        <v>271</v>
      </c>
      <c r="J21" s="94" t="s">
        <v>272</v>
      </c>
      <c r="K21" s="94" t="s">
        <v>273</v>
      </c>
      <c r="L21" s="94" t="s">
        <v>274</v>
      </c>
    </row>
    <row r="22" customFormat="false" ht="15" hidden="false" customHeight="false" outlineLevel="0" collapsed="false">
      <c r="B22" s="70" t="s">
        <v>275</v>
      </c>
      <c r="C22" s="100" t="n">
        <v>7.5</v>
      </c>
      <c r="D22" s="100" t="n">
        <v>8.03</v>
      </c>
      <c r="E22" s="100" t="n">
        <v>8.59</v>
      </c>
      <c r="F22" s="100" t="n">
        <v>9.19</v>
      </c>
      <c r="G22" s="100" t="n">
        <v>9.83</v>
      </c>
      <c r="H22" s="100" t="n">
        <v>10.52</v>
      </c>
      <c r="I22" s="100" t="n">
        <v>11.26</v>
      </c>
      <c r="J22" s="100" t="n">
        <v>12.04</v>
      </c>
      <c r="K22" s="100" t="n">
        <v>12.89</v>
      </c>
      <c r="L22" s="100" t="n">
        <v>13.79</v>
      </c>
    </row>
    <row r="23" customFormat="false" ht="15" hidden="false" customHeight="false" outlineLevel="0" collapsed="false">
      <c r="B23" s="89" t="s">
        <v>276</v>
      </c>
      <c r="C23" s="101" t="n">
        <v>312</v>
      </c>
      <c r="D23" s="101" t="n">
        <v>380</v>
      </c>
      <c r="E23" s="101" t="n">
        <v>440</v>
      </c>
      <c r="F23" s="101" t="n">
        <v>490</v>
      </c>
      <c r="G23" s="101" t="n">
        <v>530</v>
      </c>
      <c r="H23" s="101" t="n">
        <v>570</v>
      </c>
      <c r="I23" s="101" t="n">
        <v>610</v>
      </c>
      <c r="J23" s="101" t="n">
        <v>640</v>
      </c>
      <c r="K23" s="101" t="n">
        <v>665</v>
      </c>
      <c r="L23" s="101" t="n">
        <v>690</v>
      </c>
    </row>
    <row r="24" customFormat="false" ht="15" hidden="false" customHeight="false" outlineLevel="0" collapsed="false">
      <c r="B24" s="102" t="s">
        <v>277</v>
      </c>
      <c r="C24" s="103" t="n">
        <v>0.23</v>
      </c>
      <c r="D24" s="103" t="n">
        <v>0.3</v>
      </c>
      <c r="E24" s="103" t="n">
        <v>0.38</v>
      </c>
      <c r="F24" s="103" t="n">
        <v>0.45</v>
      </c>
      <c r="G24" s="103" t="n">
        <v>0.52</v>
      </c>
      <c r="H24" s="103" t="n">
        <v>0.6</v>
      </c>
      <c r="I24" s="103" t="n">
        <v>0.69</v>
      </c>
      <c r="J24" s="103" t="n">
        <v>0.77</v>
      </c>
      <c r="K24" s="103" t="n">
        <v>0.86</v>
      </c>
      <c r="L24" s="103" t="n">
        <v>0.95</v>
      </c>
    </row>
    <row r="25" customFormat="false" ht="15" hidden="false" customHeight="false" outlineLevel="0" collapsed="false">
      <c r="B25" s="104" t="s">
        <v>278</v>
      </c>
      <c r="C25" s="105" t="n">
        <v>0.23</v>
      </c>
      <c r="D25" s="105" t="n">
        <v>0.3</v>
      </c>
      <c r="E25" s="105" t="n">
        <v>0.36</v>
      </c>
      <c r="F25" s="105" t="n">
        <v>0.41</v>
      </c>
      <c r="G25" s="105" t="n">
        <v>0.47</v>
      </c>
      <c r="H25" s="105" t="n">
        <v>0.52</v>
      </c>
      <c r="I25" s="105" t="n">
        <v>0.58</v>
      </c>
      <c r="J25" s="105" t="n">
        <v>0.63</v>
      </c>
      <c r="K25" s="105" t="n">
        <v>0.68</v>
      </c>
      <c r="L25" s="105" t="n">
        <v>0.74</v>
      </c>
    </row>
    <row r="26" customFormat="false" ht="15" hidden="false" customHeight="false" outlineLevel="0" collapsed="false">
      <c r="B26" s="95" t="s">
        <v>279</v>
      </c>
      <c r="C26" s="106" t="n">
        <v>0.23</v>
      </c>
      <c r="D26" s="106" t="n">
        <v>0.31</v>
      </c>
      <c r="E26" s="106" t="n">
        <v>0.4</v>
      </c>
      <c r="F26" s="106" t="n">
        <v>0.49</v>
      </c>
      <c r="G26" s="106" t="n">
        <v>0.58</v>
      </c>
      <c r="H26" s="106" t="n">
        <v>0.69</v>
      </c>
      <c r="I26" s="106" t="n">
        <v>0.81</v>
      </c>
      <c r="J26" s="106" t="n">
        <v>0.94</v>
      </c>
      <c r="K26" s="106" t="n">
        <v>1.07</v>
      </c>
      <c r="L26" s="106" t="n">
        <v>1.22</v>
      </c>
    </row>
    <row r="27" customFormat="false" ht="15" hidden="false" customHeight="false" outlineLevel="0" collapsed="false">
      <c r="B27" s="71" t="s">
        <v>280</v>
      </c>
      <c r="C27" s="103" t="n">
        <v>-2839.77</v>
      </c>
      <c r="D27" s="103" t="n">
        <v>-2839.48</v>
      </c>
      <c r="E27" s="103" t="n">
        <v>-2839.16</v>
      </c>
      <c r="F27" s="103" t="n">
        <v>-2838.8</v>
      </c>
      <c r="G27" s="103" t="n">
        <v>-2838.42</v>
      </c>
      <c r="H27" s="103" t="n">
        <v>-2838.01</v>
      </c>
      <c r="I27" s="103" t="n">
        <v>-2837.58</v>
      </c>
      <c r="J27" s="103" t="n">
        <v>-2837.13</v>
      </c>
      <c r="K27" s="103" t="n">
        <v>-2836.67</v>
      </c>
      <c r="L27" s="103" t="n">
        <v>-2836.19</v>
      </c>
    </row>
    <row r="30" customFormat="false" ht="15" hidden="false" customHeight="false" outlineLevel="0" collapsed="false">
      <c r="B30" s="30" t="s">
        <v>281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customFormat="false" ht="15" hidden="false" customHeight="false" outlineLevel="0" collapsed="false">
      <c r="B31" s="94" t="s">
        <v>282</v>
      </c>
      <c r="C31" s="94" t="s">
        <v>283</v>
      </c>
      <c r="D31" s="94" t="s">
        <v>284</v>
      </c>
      <c r="E31" s="94" t="s">
        <v>285</v>
      </c>
      <c r="F31" s="94" t="s">
        <v>286</v>
      </c>
    </row>
    <row r="32" customFormat="false" ht="15" hidden="false" customHeight="false" outlineLevel="0" collapsed="false">
      <c r="B32" s="107" t="s">
        <v>287</v>
      </c>
      <c r="C32" s="108" t="n">
        <v>4960</v>
      </c>
      <c r="D32" s="109" t="n">
        <v>5.4</v>
      </c>
      <c r="E32" s="110" t="n">
        <v>0.182</v>
      </c>
      <c r="F32" s="107" t="s">
        <v>288</v>
      </c>
    </row>
    <row r="33" customFormat="false" ht="15" hidden="false" customHeight="false" outlineLevel="0" collapsed="false">
      <c r="B33" s="111" t="s">
        <v>289</v>
      </c>
      <c r="C33" s="112" t="n">
        <v>8420</v>
      </c>
      <c r="D33" s="113" t="n">
        <v>3.8</v>
      </c>
      <c r="E33" s="114" t="n">
        <v>0.241</v>
      </c>
      <c r="F33" s="111" t="s">
        <v>290</v>
      </c>
    </row>
    <row r="34" customFormat="false" ht="15" hidden="false" customHeight="false" outlineLevel="0" collapsed="false">
      <c r="B34" s="115" t="s">
        <v>291</v>
      </c>
      <c r="C34" s="116" t="n">
        <v>11840</v>
      </c>
      <c r="D34" s="117" t="n">
        <v>2.9</v>
      </c>
      <c r="E34" s="118" t="n">
        <v>0.298</v>
      </c>
      <c r="F34" s="115" t="s">
        <v>292</v>
      </c>
    </row>
    <row r="37" customFormat="false" ht="15" hidden="false" customHeight="false" outlineLevel="0" collapsed="false">
      <c r="B37" s="30" t="s">
        <v>293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customFormat="false" ht="15" hidden="false" customHeight="false" outlineLevel="0" collapsed="false">
      <c r="B38" s="94" t="s">
        <v>294</v>
      </c>
      <c r="C38" s="94" t="s">
        <v>295</v>
      </c>
      <c r="D38" s="94" t="s">
        <v>296</v>
      </c>
      <c r="E38" s="94" t="s">
        <v>238</v>
      </c>
      <c r="F38" s="94" t="s">
        <v>297</v>
      </c>
      <c r="G38" s="94" t="s">
        <v>298</v>
      </c>
    </row>
    <row r="39" customFormat="false" ht="15" hidden="false" customHeight="false" outlineLevel="0" collapsed="false">
      <c r="B39" s="95" t="s">
        <v>299</v>
      </c>
      <c r="C39" s="119" t="n">
        <v>1420</v>
      </c>
      <c r="D39" s="119" t="n">
        <v>4920</v>
      </c>
      <c r="E39" s="120" t="n">
        <v>8420</v>
      </c>
      <c r="F39" s="121" t="n">
        <v>12420</v>
      </c>
      <c r="G39" s="121" t="n">
        <v>17840</v>
      </c>
    </row>
    <row r="40" customFormat="false" ht="15" hidden="false" customHeight="false" outlineLevel="0" collapsed="false">
      <c r="B40" s="70" t="s">
        <v>300</v>
      </c>
      <c r="C40" s="119" t="n">
        <v>5580</v>
      </c>
      <c r="D40" s="122" t="n">
        <v>7000</v>
      </c>
      <c r="E40" s="123" t="n">
        <v>8420</v>
      </c>
      <c r="F40" s="124" t="n">
        <v>9840</v>
      </c>
      <c r="G40" s="121" t="n">
        <v>11260</v>
      </c>
    </row>
    <row r="41" customFormat="false" ht="15" hidden="false" customHeight="false" outlineLevel="0" collapsed="false">
      <c r="B41" s="95" t="s">
        <v>301</v>
      </c>
      <c r="C41" s="125" t="n">
        <v>9396</v>
      </c>
      <c r="D41" s="125" t="n">
        <v>8908</v>
      </c>
      <c r="E41" s="120" t="n">
        <v>8420</v>
      </c>
      <c r="F41" s="126" t="n">
        <v>7932</v>
      </c>
      <c r="G41" s="126" t="n">
        <v>7444</v>
      </c>
    </row>
    <row r="42" customFormat="false" ht="15" hidden="false" customHeight="false" outlineLevel="0" collapsed="false">
      <c r="B42" s="70" t="s">
        <v>302</v>
      </c>
      <c r="C42" s="122" t="n">
        <v>6900</v>
      </c>
      <c r="D42" s="122" t="n">
        <v>7660</v>
      </c>
      <c r="E42" s="123" t="n">
        <v>8420</v>
      </c>
      <c r="F42" s="124" t="n">
        <v>9180</v>
      </c>
      <c r="G42" s="124" t="n">
        <v>9940</v>
      </c>
    </row>
    <row r="43" customFormat="false" ht="15" hidden="false" customHeight="false" outlineLevel="0" collapsed="false">
      <c r="B43" s="95" t="s">
        <v>303</v>
      </c>
      <c r="C43" s="125" t="n">
        <v>9560</v>
      </c>
      <c r="D43" s="125" t="n">
        <v>8990</v>
      </c>
      <c r="E43" s="120" t="n">
        <v>8420</v>
      </c>
      <c r="F43" s="126" t="n">
        <v>7850</v>
      </c>
      <c r="G43" s="126" t="n">
        <v>7280</v>
      </c>
    </row>
    <row r="44" customFormat="false" ht="15" hidden="false" customHeight="false" outlineLevel="0" collapsed="false">
      <c r="B44" s="70" t="s">
        <v>304</v>
      </c>
      <c r="C44" s="124" t="n">
        <v>8820</v>
      </c>
      <c r="D44" s="124" t="n">
        <v>8620</v>
      </c>
      <c r="E44" s="123" t="n">
        <v>8420</v>
      </c>
      <c r="F44" s="122" t="n">
        <v>8220</v>
      </c>
      <c r="G44" s="122" t="n">
        <v>8020</v>
      </c>
    </row>
  </sheetData>
  <mergeCells count="6">
    <mergeCell ref="B1:M1"/>
    <mergeCell ref="B2:M2"/>
    <mergeCell ref="B4:M4"/>
    <mergeCell ref="B20:M20"/>
    <mergeCell ref="B30:M30"/>
    <mergeCell ref="B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  <col collapsed="false" customWidth="true" hidden="false" outlineLevel="0" max="10" min="9" style="0" width="12"/>
    <col collapsed="false" customWidth="true" hidden="false" outlineLevel="0" max="11" min="11" style="0" width="18"/>
  </cols>
  <sheetData>
    <row r="1" customFormat="false" ht="30" hidden="false" customHeight="true" outlineLevel="0" collapsed="false">
      <c r="B1" s="127" t="s">
        <v>305</v>
      </c>
      <c r="C1" s="127"/>
      <c r="D1" s="127"/>
      <c r="E1" s="127"/>
      <c r="F1" s="127"/>
      <c r="G1" s="127"/>
      <c r="H1" s="127"/>
      <c r="I1" s="127"/>
      <c r="J1" s="127"/>
      <c r="K1" s="127"/>
    </row>
    <row r="4" customFormat="false" ht="15" hidden="false" customHeight="false" outlineLevel="0" collapsed="false">
      <c r="B4" s="128" t="s">
        <v>50</v>
      </c>
      <c r="C4" s="128" t="s">
        <v>306</v>
      </c>
      <c r="D4" s="128" t="s">
        <v>307</v>
      </c>
      <c r="E4" s="128" t="s">
        <v>308</v>
      </c>
      <c r="F4" s="128" t="s">
        <v>309</v>
      </c>
      <c r="G4" s="128" t="s">
        <v>310</v>
      </c>
      <c r="H4" s="128" t="s">
        <v>311</v>
      </c>
      <c r="I4" s="128" t="s">
        <v>312</v>
      </c>
      <c r="J4" s="128" t="s">
        <v>313</v>
      </c>
      <c r="K4" s="128" t="s">
        <v>314</v>
      </c>
    </row>
    <row r="5" customFormat="false" ht="15" hidden="false" customHeight="false" outlineLevel="0" collapsed="false">
      <c r="B5" s="22" t="s">
        <v>70</v>
      </c>
      <c r="C5" s="51" t="n">
        <v>35</v>
      </c>
      <c r="D5" s="33" t="n">
        <v>150</v>
      </c>
      <c r="E5" s="22" t="s">
        <v>315</v>
      </c>
      <c r="F5" s="22" t="s">
        <v>316</v>
      </c>
      <c r="G5" s="22" t="s">
        <v>315</v>
      </c>
      <c r="H5" s="22"/>
      <c r="I5" s="129" t="s">
        <v>317</v>
      </c>
      <c r="J5" s="130" t="n">
        <v>0.45</v>
      </c>
      <c r="K5" s="25" t="n">
        <v>0</v>
      </c>
      <c r="L5" s="22"/>
    </row>
    <row r="6" customFormat="false" ht="15" hidden="false" customHeight="false" outlineLevel="0" collapsed="false">
      <c r="B6" s="26" t="s">
        <v>59</v>
      </c>
      <c r="C6" s="56" t="n">
        <v>28</v>
      </c>
      <c r="D6" s="38" t="n">
        <v>120</v>
      </c>
      <c r="E6" s="26" t="s">
        <v>318</v>
      </c>
      <c r="F6" s="26" t="s">
        <v>319</v>
      </c>
      <c r="G6" s="26"/>
      <c r="H6" s="26"/>
      <c r="I6" s="131" t="s">
        <v>320</v>
      </c>
      <c r="J6" s="132" t="n">
        <v>0</v>
      </c>
      <c r="K6" s="29" t="n">
        <v>0</v>
      </c>
      <c r="L6" s="26"/>
    </row>
    <row r="7" customFormat="false" ht="15" hidden="false" customHeight="false" outlineLevel="0" collapsed="false">
      <c r="B7" s="22" t="s">
        <v>67</v>
      </c>
      <c r="C7" s="51" t="n">
        <v>22</v>
      </c>
      <c r="D7" s="33" t="n">
        <v>100</v>
      </c>
      <c r="E7" s="22" t="s">
        <v>321</v>
      </c>
      <c r="F7" s="22" t="s">
        <v>322</v>
      </c>
      <c r="G7" s="22"/>
      <c r="H7" s="22"/>
      <c r="I7" s="131" t="s">
        <v>320</v>
      </c>
      <c r="J7" s="130" t="n">
        <v>0</v>
      </c>
      <c r="K7" s="25" t="n">
        <v>0</v>
      </c>
      <c r="L7" s="22"/>
    </row>
    <row r="8" customFormat="false" ht="15" hidden="false" customHeight="false" outlineLevel="0" collapsed="false">
      <c r="B8" s="26" t="s">
        <v>64</v>
      </c>
      <c r="C8" s="56" t="n">
        <v>18</v>
      </c>
      <c r="D8" s="38" t="n">
        <v>80</v>
      </c>
      <c r="E8" s="26" t="s">
        <v>316</v>
      </c>
      <c r="F8" s="26" t="s">
        <v>323</v>
      </c>
      <c r="G8" s="26"/>
      <c r="H8" s="26"/>
      <c r="I8" s="131" t="s">
        <v>320</v>
      </c>
      <c r="J8" s="132" t="n">
        <v>0</v>
      </c>
      <c r="K8" s="29" t="n">
        <v>0</v>
      </c>
      <c r="L8" s="26"/>
    </row>
    <row r="9" customFormat="false" ht="15" hidden="false" customHeight="false" outlineLevel="0" collapsed="false">
      <c r="B9" s="22" t="s">
        <v>74</v>
      </c>
      <c r="C9" s="51" t="n">
        <v>15</v>
      </c>
      <c r="D9" s="33" t="n">
        <v>65</v>
      </c>
      <c r="E9" s="22" t="s">
        <v>319</v>
      </c>
      <c r="F9" s="22" t="s">
        <v>324</v>
      </c>
      <c r="G9" s="22"/>
      <c r="H9" s="22"/>
      <c r="I9" s="131" t="s">
        <v>320</v>
      </c>
      <c r="J9" s="130" t="n">
        <v>0</v>
      </c>
      <c r="K9" s="25" t="n">
        <v>0</v>
      </c>
      <c r="L9" s="22"/>
    </row>
    <row r="10" customFormat="false" ht="15" hidden="false" customHeight="false" outlineLevel="0" collapsed="false">
      <c r="B10" s="26" t="s">
        <v>77</v>
      </c>
      <c r="C10" s="56" t="n">
        <v>8</v>
      </c>
      <c r="D10" s="38" t="n">
        <v>35</v>
      </c>
      <c r="E10" s="26" t="s">
        <v>322</v>
      </c>
      <c r="F10" s="26" t="s">
        <v>325</v>
      </c>
      <c r="G10" s="26"/>
      <c r="H10" s="26"/>
      <c r="I10" s="131" t="s">
        <v>320</v>
      </c>
      <c r="J10" s="132" t="n">
        <v>0</v>
      </c>
      <c r="K10" s="29" t="n">
        <v>0</v>
      </c>
      <c r="L10" s="26"/>
    </row>
    <row r="11" customFormat="false" ht="15" hidden="false" customHeight="false" outlineLevel="0" collapsed="false">
      <c r="B11" s="22" t="s">
        <v>79</v>
      </c>
      <c r="C11" s="51" t="n">
        <v>5</v>
      </c>
      <c r="D11" s="33" t="n">
        <v>20</v>
      </c>
      <c r="E11" s="22" t="s">
        <v>323</v>
      </c>
      <c r="F11" s="22" t="s">
        <v>326</v>
      </c>
      <c r="G11" s="22"/>
      <c r="H11" s="22"/>
      <c r="I11" s="131" t="s">
        <v>320</v>
      </c>
      <c r="J11" s="130" t="n">
        <v>0</v>
      </c>
      <c r="K11" s="25" t="n">
        <v>0</v>
      </c>
      <c r="L11" s="22"/>
    </row>
    <row r="14" customFormat="false" ht="15" hidden="false" customHeight="false" outlineLevel="0" collapsed="false">
      <c r="B14" s="30" t="s">
        <v>327</v>
      </c>
      <c r="C14" s="30"/>
      <c r="D14" s="30"/>
      <c r="E14" s="30"/>
      <c r="F14" s="30"/>
      <c r="G14" s="30"/>
      <c r="H14" s="30"/>
      <c r="I14" s="30"/>
      <c r="J14" s="30"/>
      <c r="K14" s="30"/>
    </row>
    <row r="15" customFormat="false" ht="15" hidden="false" customHeight="false" outlineLevel="0" collapsed="false">
      <c r="B15" s="128" t="s">
        <v>328</v>
      </c>
      <c r="C15" s="128" t="s">
        <v>329</v>
      </c>
      <c r="D15" s="128" t="s">
        <v>330</v>
      </c>
      <c r="E15" s="128" t="s">
        <v>331</v>
      </c>
      <c r="F15" s="128" t="s">
        <v>332</v>
      </c>
      <c r="G15" s="128" t="s">
        <v>333</v>
      </c>
    </row>
    <row r="16" customFormat="false" ht="15" hidden="false" customHeight="false" outlineLevel="0" collapsed="false">
      <c r="B16" s="133" t="s">
        <v>334</v>
      </c>
      <c r="C16" s="22" t="s">
        <v>335</v>
      </c>
      <c r="D16" s="134" t="s">
        <v>336</v>
      </c>
      <c r="E16" s="135" t="s">
        <v>337</v>
      </c>
      <c r="F16" s="135" t="s">
        <v>337</v>
      </c>
      <c r="G16" s="133" t="s">
        <v>338</v>
      </c>
    </row>
    <row r="17" customFormat="false" ht="15" hidden="false" customHeight="false" outlineLevel="0" collapsed="false">
      <c r="B17" s="6" t="s">
        <v>339</v>
      </c>
      <c r="C17" s="26" t="s">
        <v>340</v>
      </c>
      <c r="D17" s="134" t="s">
        <v>336</v>
      </c>
      <c r="E17" s="135" t="s">
        <v>337</v>
      </c>
      <c r="F17" s="135" t="s">
        <v>337</v>
      </c>
      <c r="G17" s="6" t="s">
        <v>341</v>
      </c>
    </row>
    <row r="18" customFormat="false" ht="15" hidden="false" customHeight="false" outlineLevel="0" collapsed="false">
      <c r="B18" s="133" t="s">
        <v>342</v>
      </c>
      <c r="C18" s="22" t="s">
        <v>343</v>
      </c>
      <c r="D18" s="134" t="s">
        <v>336</v>
      </c>
      <c r="E18" s="135" t="s">
        <v>337</v>
      </c>
      <c r="F18" s="135" t="s">
        <v>337</v>
      </c>
      <c r="G18" s="133" t="s">
        <v>344</v>
      </c>
    </row>
    <row r="19" customFormat="false" ht="15" hidden="false" customHeight="false" outlineLevel="0" collapsed="false">
      <c r="B19" s="6" t="s">
        <v>345</v>
      </c>
      <c r="C19" s="26" t="s">
        <v>346</v>
      </c>
      <c r="D19" s="134" t="s">
        <v>336</v>
      </c>
      <c r="E19" s="135" t="s">
        <v>337</v>
      </c>
      <c r="F19" s="135" t="s">
        <v>337</v>
      </c>
      <c r="G19" s="6" t="s">
        <v>347</v>
      </c>
    </row>
    <row r="20" customFormat="false" ht="15" hidden="false" customHeight="false" outlineLevel="0" collapsed="false">
      <c r="B20" s="133" t="s">
        <v>348</v>
      </c>
      <c r="C20" s="22" t="s">
        <v>349</v>
      </c>
      <c r="D20" s="134" t="s">
        <v>350</v>
      </c>
      <c r="E20" s="136" t="s">
        <v>317</v>
      </c>
      <c r="F20" s="137" t="s">
        <v>320</v>
      </c>
      <c r="G20" s="133" t="s">
        <v>351</v>
      </c>
    </row>
    <row r="21" customFormat="false" ht="15" hidden="false" customHeight="false" outlineLevel="0" collapsed="false">
      <c r="B21" s="6" t="s">
        <v>352</v>
      </c>
      <c r="C21" s="26" t="s">
        <v>353</v>
      </c>
      <c r="D21" s="134" t="s">
        <v>336</v>
      </c>
      <c r="E21" s="135" t="s">
        <v>337</v>
      </c>
      <c r="F21" s="135" t="s">
        <v>337</v>
      </c>
      <c r="G21" s="6" t="s">
        <v>354</v>
      </c>
    </row>
    <row r="22" customFormat="false" ht="15" hidden="false" customHeight="false" outlineLevel="0" collapsed="false">
      <c r="B22" s="133" t="s">
        <v>355</v>
      </c>
      <c r="C22" s="22" t="s">
        <v>346</v>
      </c>
      <c r="D22" s="134" t="s">
        <v>336</v>
      </c>
      <c r="E22" s="135" t="s">
        <v>337</v>
      </c>
      <c r="F22" s="135" t="s">
        <v>337</v>
      </c>
      <c r="G22" s="133" t="s">
        <v>356</v>
      </c>
    </row>
    <row r="23" customFormat="false" ht="15" hidden="false" customHeight="false" outlineLevel="0" collapsed="false">
      <c r="B23" s="6" t="s">
        <v>357</v>
      </c>
      <c r="C23" s="26" t="s">
        <v>343</v>
      </c>
      <c r="D23" s="134" t="s">
        <v>350</v>
      </c>
      <c r="E23" s="137" t="s">
        <v>320</v>
      </c>
      <c r="F23" s="137" t="s">
        <v>320</v>
      </c>
      <c r="G23" s="6" t="s">
        <v>358</v>
      </c>
    </row>
  </sheetData>
  <mergeCells count="2">
    <mergeCell ref="B1:K1"/>
    <mergeCell ref="B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3" min="3" style="0" width="13"/>
  </cols>
  <sheetData>
    <row r="1" customFormat="false" ht="30" hidden="false" customHeight="true" outlineLevel="0" collapsed="false">
      <c r="B1" s="18" t="s">
        <v>359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" hidden="false" customHeight="false" outlineLevel="0" collapsed="false">
      <c r="B2" s="19" t="s">
        <v>360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customFormat="false" ht="15" hidden="false" customHeight="false" outlineLevel="0" collapsed="false">
      <c r="B4" s="30" t="s">
        <v>361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customFormat="false" ht="15" hidden="false" customHeight="false" outlineLevel="0" collapsed="false">
      <c r="B5" s="21" t="s">
        <v>216</v>
      </c>
      <c r="C5" s="21" t="s">
        <v>139</v>
      </c>
      <c r="D5" s="21" t="s">
        <v>140</v>
      </c>
      <c r="E5" s="21" t="s">
        <v>141</v>
      </c>
      <c r="F5" s="21" t="s">
        <v>142</v>
      </c>
      <c r="G5" s="21" t="s">
        <v>143</v>
      </c>
      <c r="H5" s="21" t="s">
        <v>144</v>
      </c>
      <c r="I5" s="21" t="s">
        <v>145</v>
      </c>
      <c r="J5" s="21" t="s">
        <v>146</v>
      </c>
      <c r="K5" s="21" t="s">
        <v>147</v>
      </c>
      <c r="L5" s="21" t="s">
        <v>148</v>
      </c>
      <c r="M5" s="21" t="s">
        <v>149</v>
      </c>
    </row>
    <row r="6" customFormat="false" ht="15" hidden="false" customHeight="false" outlineLevel="0" collapsed="false">
      <c r="B6" s="102" t="s">
        <v>362</v>
      </c>
      <c r="C6" s="138" t="n">
        <v>4850</v>
      </c>
      <c r="D6" s="138" t="n">
        <v>4380</v>
      </c>
      <c r="E6" s="138" t="n">
        <v>5120</v>
      </c>
      <c r="F6" s="138" t="n">
        <v>5280</v>
      </c>
      <c r="G6" s="138" t="n">
        <v>5350</v>
      </c>
      <c r="H6" s="138" t="n">
        <v>5100</v>
      </c>
      <c r="I6" s="138" t="n">
        <v>4980</v>
      </c>
      <c r="J6" s="138" t="n">
        <v>5100</v>
      </c>
      <c r="K6" s="138" t="n">
        <v>5050</v>
      </c>
      <c r="L6" s="138" t="n">
        <v>5120</v>
      </c>
      <c r="M6" s="138" t="n">
        <v>4900</v>
      </c>
      <c r="N6" s="138" t="n">
        <v>4720</v>
      </c>
    </row>
    <row r="7" customFormat="false" ht="15" hidden="false" customHeight="false" outlineLevel="0" collapsed="false">
      <c r="B7" s="70" t="s">
        <v>363</v>
      </c>
      <c r="C7" s="33" t="n">
        <v>4820</v>
      </c>
      <c r="D7" s="33" t="n">
        <v>4320</v>
      </c>
      <c r="E7" s="33" t="n">
        <v>5080</v>
      </c>
      <c r="F7" s="33" t="n">
        <v>5150</v>
      </c>
      <c r="G7" s="33" t="n">
        <v>5280</v>
      </c>
      <c r="H7" s="33" t="n">
        <v>4980</v>
      </c>
      <c r="I7" s="33" t="n">
        <v>4900</v>
      </c>
      <c r="J7" s="33" t="n">
        <v>5020</v>
      </c>
      <c r="K7" s="33" t="n">
        <v>4980</v>
      </c>
      <c r="L7" s="33" t="n">
        <v>5050</v>
      </c>
      <c r="M7" s="33" t="n">
        <v>4820</v>
      </c>
      <c r="N7" s="33" t="n">
        <v>4680</v>
      </c>
    </row>
    <row r="8" customFormat="false" ht="15" hidden="false" customHeight="false" outlineLevel="0" collapsed="false">
      <c r="B8" s="102" t="s">
        <v>364</v>
      </c>
      <c r="C8" s="138" t="n">
        <v>28</v>
      </c>
      <c r="D8" s="138" t="n">
        <v>26</v>
      </c>
      <c r="E8" s="138" t="n">
        <v>30</v>
      </c>
      <c r="F8" s="138" t="n">
        <v>31</v>
      </c>
      <c r="G8" s="138" t="n">
        <v>32</v>
      </c>
      <c r="H8" s="138" t="n">
        <v>30</v>
      </c>
      <c r="I8" s="138" t="n">
        <v>29</v>
      </c>
      <c r="J8" s="138" t="n">
        <v>30</v>
      </c>
      <c r="K8" s="138" t="n">
        <v>29</v>
      </c>
      <c r="L8" s="138" t="n">
        <v>30</v>
      </c>
      <c r="M8" s="138" t="n">
        <v>29</v>
      </c>
      <c r="N8" s="138" t="n">
        <v>28</v>
      </c>
    </row>
    <row r="9" customFormat="false" ht="15" hidden="false" customHeight="false" outlineLevel="0" collapsed="false">
      <c r="B9" s="70" t="s">
        <v>365</v>
      </c>
      <c r="C9" s="33" t="n">
        <v>2180</v>
      </c>
      <c r="D9" s="33" t="n">
        <v>2250</v>
      </c>
      <c r="E9" s="33" t="n">
        <v>2090</v>
      </c>
      <c r="F9" s="33" t="n">
        <v>2200</v>
      </c>
      <c r="G9" s="33" t="n">
        <v>2120</v>
      </c>
      <c r="H9" s="33" t="n">
        <v>2310</v>
      </c>
      <c r="I9" s="33" t="n">
        <v>2380</v>
      </c>
      <c r="J9" s="33" t="n">
        <v>2310</v>
      </c>
      <c r="K9" s="33" t="n">
        <v>2360</v>
      </c>
      <c r="L9" s="33" t="n">
        <v>2190</v>
      </c>
      <c r="M9" s="33" t="n">
        <v>2280</v>
      </c>
      <c r="N9" s="33" t="n">
        <v>2340</v>
      </c>
    </row>
    <row r="10" customFormat="false" ht="15" hidden="false" customHeight="false" outlineLevel="0" collapsed="false">
      <c r="B10" s="102" t="s">
        <v>366</v>
      </c>
      <c r="C10" s="139" t="n">
        <v>1.4</v>
      </c>
      <c r="D10" s="139" t="n">
        <v>1.39</v>
      </c>
      <c r="E10" s="139" t="n">
        <v>1.41</v>
      </c>
      <c r="F10" s="139" t="n">
        <v>1.42</v>
      </c>
      <c r="G10" s="139" t="n">
        <v>1.44</v>
      </c>
      <c r="H10" s="139" t="n">
        <v>1.45</v>
      </c>
      <c r="I10" s="139" t="n">
        <v>1.43</v>
      </c>
      <c r="J10" s="139" t="n">
        <v>1.43</v>
      </c>
      <c r="K10" s="139" t="n">
        <v>1.4</v>
      </c>
      <c r="L10" s="139" t="n">
        <v>1.39</v>
      </c>
      <c r="M10" s="139" t="n">
        <v>1.39</v>
      </c>
      <c r="N10" s="139" t="n">
        <v>1.4</v>
      </c>
    </row>
    <row r="11" customFormat="false" ht="15" hidden="false" customHeight="false" outlineLevel="0" collapsed="false">
      <c r="B11" s="70" t="s">
        <v>367</v>
      </c>
      <c r="C11" s="33" t="n">
        <v>362</v>
      </c>
      <c r="D11" s="33" t="n">
        <v>325</v>
      </c>
      <c r="E11" s="33" t="n">
        <v>381</v>
      </c>
      <c r="F11" s="33" t="n">
        <v>386</v>
      </c>
      <c r="G11" s="33" t="n">
        <v>395</v>
      </c>
      <c r="H11" s="33" t="n">
        <v>373</v>
      </c>
      <c r="I11" s="33" t="n">
        <v>367</v>
      </c>
      <c r="J11" s="33" t="n">
        <v>376</v>
      </c>
      <c r="K11" s="33" t="n">
        <v>373</v>
      </c>
      <c r="L11" s="33" t="n">
        <v>378</v>
      </c>
      <c r="M11" s="33" t="n">
        <v>361</v>
      </c>
      <c r="N11" s="33" t="n">
        <v>351</v>
      </c>
    </row>
    <row r="12" customFormat="false" ht="15" hidden="false" customHeight="false" outlineLevel="0" collapsed="false">
      <c r="B12" s="102" t="s">
        <v>368</v>
      </c>
      <c r="C12" s="138" t="n">
        <v>3953</v>
      </c>
      <c r="D12" s="138" t="n">
        <v>3542</v>
      </c>
      <c r="E12" s="138" t="n">
        <v>4166</v>
      </c>
      <c r="F12" s="138" t="n">
        <v>4223</v>
      </c>
      <c r="G12" s="138" t="n">
        <v>4330</v>
      </c>
      <c r="H12" s="138" t="n">
        <v>4084</v>
      </c>
      <c r="I12" s="138" t="n">
        <v>4018</v>
      </c>
      <c r="J12" s="138" t="n">
        <v>4116</v>
      </c>
      <c r="K12" s="138" t="n">
        <v>4084</v>
      </c>
      <c r="L12" s="138" t="n">
        <v>4141</v>
      </c>
      <c r="M12" s="138" t="n">
        <v>3952</v>
      </c>
      <c r="N12" s="138" t="n">
        <v>3838</v>
      </c>
    </row>
    <row r="13" customFormat="false" ht="15" hidden="false" customHeight="false" outlineLevel="0" collapsed="false">
      <c r="B13" s="140" t="s">
        <v>369</v>
      </c>
      <c r="C13" s="141" t="n">
        <f aca="false">C7-C6</f>
        <v>-30</v>
      </c>
      <c r="D13" s="141" t="n">
        <f aca="false">D7-D6</f>
        <v>-60</v>
      </c>
      <c r="E13" s="141" t="n">
        <f aca="false">E7-E6</f>
        <v>-40</v>
      </c>
      <c r="F13" s="141" t="n">
        <f aca="false">F7-F6</f>
        <v>-130</v>
      </c>
      <c r="G13" s="141" t="n">
        <f aca="false">G7-G6</f>
        <v>-70</v>
      </c>
      <c r="H13" s="141" t="n">
        <f aca="false">H7-H6</f>
        <v>-120</v>
      </c>
      <c r="I13" s="141" t="n">
        <f aca="false">I7-I6</f>
        <v>-80</v>
      </c>
      <c r="J13" s="141" t="n">
        <f aca="false">J7-J6</f>
        <v>-80</v>
      </c>
      <c r="K13" s="141" t="n">
        <f aca="false">K7-K6</f>
        <v>-70</v>
      </c>
      <c r="L13" s="141" t="n">
        <f aca="false">L7-L6</f>
        <v>-70</v>
      </c>
      <c r="M13" s="141" t="n">
        <f aca="false">M7-M6</f>
        <v>-80</v>
      </c>
      <c r="N13" s="141" t="n">
        <f aca="false">N7-N6</f>
        <v>-40</v>
      </c>
    </row>
    <row r="16" customFormat="false" ht="15" hidden="false" customHeight="false" outlineLevel="0" collapsed="false">
      <c r="B16" s="30" t="s">
        <v>370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customFormat="false" ht="15" hidden="false" customHeight="false" outlineLevel="0" collapsed="false">
      <c r="B17" s="21" t="s">
        <v>371</v>
      </c>
      <c r="C17" s="21" t="s">
        <v>372</v>
      </c>
      <c r="D17" s="21" t="s">
        <v>333</v>
      </c>
      <c r="E17" s="21" t="s">
        <v>373</v>
      </c>
    </row>
    <row r="18" customFormat="false" ht="15" hidden="false" customHeight="false" outlineLevel="0" collapsed="false">
      <c r="B18" s="142" t="s">
        <v>374</v>
      </c>
      <c r="C18" s="143" t="n">
        <v>-47425</v>
      </c>
      <c r="D18" s="144" t="s">
        <v>375</v>
      </c>
      <c r="E18" s="145" t="s">
        <v>376</v>
      </c>
    </row>
    <row r="19" customFormat="false" ht="15" hidden="false" customHeight="false" outlineLevel="0" collapsed="false">
      <c r="B19" s="133" t="s">
        <v>377</v>
      </c>
      <c r="C19" s="146" t="n">
        <v>21680</v>
      </c>
      <c r="D19" s="147" t="s">
        <v>378</v>
      </c>
      <c r="E19" s="148" t="s">
        <v>62</v>
      </c>
    </row>
    <row r="20" customFormat="false" ht="15" hidden="false" customHeight="false" outlineLevel="0" collapsed="false">
      <c r="B20" s="149" t="s">
        <v>379</v>
      </c>
      <c r="C20" s="150" t="n">
        <v>28000</v>
      </c>
      <c r="D20" s="151" t="s">
        <v>380</v>
      </c>
      <c r="E20" s="151" t="s">
        <v>381</v>
      </c>
    </row>
    <row r="21" customFormat="false" ht="15" hidden="false" customHeight="false" outlineLevel="0" collapsed="false">
      <c r="B21" s="149" t="s">
        <v>382</v>
      </c>
      <c r="C21" s="150" t="n">
        <v>54000</v>
      </c>
      <c r="D21" s="151" t="s">
        <v>383</v>
      </c>
      <c r="E21" s="151" t="s">
        <v>381</v>
      </c>
    </row>
    <row r="22" customFormat="false" ht="15" hidden="false" customHeight="false" outlineLevel="0" collapsed="false">
      <c r="B22" s="149" t="s">
        <v>384</v>
      </c>
      <c r="C22" s="150" t="n">
        <v>12000</v>
      </c>
      <c r="D22" s="151" t="s">
        <v>385</v>
      </c>
      <c r="E22" s="151" t="s">
        <v>381</v>
      </c>
    </row>
    <row r="23" customFormat="false" ht="15" hidden="false" customHeight="false" outlineLevel="0" collapsed="false">
      <c r="B23" s="152" t="s">
        <v>386</v>
      </c>
      <c r="C23" s="153" t="n">
        <v>-1596000</v>
      </c>
      <c r="D23" s="154" t="s">
        <v>387</v>
      </c>
      <c r="E23" s="154"/>
    </row>
  </sheetData>
  <mergeCells count="4">
    <mergeCell ref="B1:M1"/>
    <mergeCell ref="B2:M2"/>
    <mergeCell ref="B4:M4"/>
    <mergeCell ref="B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6"/>
  </cols>
  <sheetData>
    <row r="1" customFormat="false" ht="31.5" hidden="false" customHeight="true" outlineLevel="0" collapsed="false">
      <c r="B1" s="155" t="s">
        <v>388</v>
      </c>
      <c r="C1" s="155"/>
      <c r="D1" s="155"/>
      <c r="E1" s="155"/>
      <c r="F1" s="155"/>
      <c r="G1" s="155"/>
      <c r="H1" s="155"/>
      <c r="I1" s="155"/>
    </row>
    <row r="2" customFormat="false" ht="15" hidden="false" customHeight="false" outlineLevel="0" collapsed="false">
      <c r="B2" s="156" t="s">
        <v>389</v>
      </c>
      <c r="C2" s="156"/>
      <c r="D2" s="156"/>
      <c r="E2" s="156"/>
      <c r="F2" s="156"/>
      <c r="G2" s="156"/>
      <c r="H2" s="156"/>
      <c r="I2" s="156"/>
    </row>
    <row r="3" customFormat="false" ht="15" hidden="false" customHeight="false" outlineLevel="0" collapsed="false">
      <c r="B3" s="157" t="s">
        <v>390</v>
      </c>
      <c r="C3" s="158" t="s">
        <v>391</v>
      </c>
      <c r="D3" s="159" t="s">
        <v>392</v>
      </c>
      <c r="E3" s="160" t="s">
        <v>393</v>
      </c>
      <c r="F3" s="161" t="s">
        <v>394</v>
      </c>
      <c r="G3" s="157" t="s">
        <v>395</v>
      </c>
      <c r="H3" s="158" t="s">
        <v>396</v>
      </c>
      <c r="I3" s="162" t="s">
        <v>397</v>
      </c>
    </row>
    <row r="4" customFormat="false" ht="15" hidden="false" customHeight="false" outlineLevel="0" collapsed="false">
      <c r="B4" s="163" t="s">
        <v>398</v>
      </c>
      <c r="C4" s="164" t="s">
        <v>399</v>
      </c>
      <c r="D4" s="165" t="s">
        <v>400</v>
      </c>
      <c r="E4" s="166" t="s">
        <v>401</v>
      </c>
      <c r="F4" s="167" t="s">
        <v>402</v>
      </c>
      <c r="G4" s="163" t="s">
        <v>403</v>
      </c>
      <c r="H4" s="164" t="s">
        <v>173</v>
      </c>
      <c r="I4" s="168" t="s">
        <v>404</v>
      </c>
    </row>
    <row r="5" customFormat="false" ht="15" hidden="false" customHeight="false" outlineLevel="0" collapsed="false">
      <c r="B5" s="163"/>
      <c r="C5" s="163"/>
      <c r="D5" s="163"/>
      <c r="E5" s="163"/>
      <c r="F5" s="163"/>
      <c r="G5" s="163"/>
      <c r="H5" s="163"/>
      <c r="I5" s="163"/>
    </row>
    <row r="6" customFormat="false" ht="15" hidden="false" customHeight="false" outlineLevel="0" collapsed="false">
      <c r="B6" s="169" t="s">
        <v>405</v>
      </c>
      <c r="C6" s="169" t="s">
        <v>406</v>
      </c>
      <c r="D6" s="169" t="s">
        <v>407</v>
      </c>
      <c r="E6" s="169" t="s">
        <v>408</v>
      </c>
      <c r="F6" s="169" t="s">
        <v>409</v>
      </c>
      <c r="G6" s="169" t="s">
        <v>410</v>
      </c>
      <c r="H6" s="169" t="s">
        <v>411</v>
      </c>
      <c r="I6" s="169" t="s">
        <v>412</v>
      </c>
    </row>
    <row r="8" customFormat="false" ht="15" hidden="false" customHeight="false" outlineLevel="0" collapsed="false">
      <c r="B8" s="30" t="s">
        <v>413</v>
      </c>
      <c r="C8" s="30"/>
      <c r="D8" s="30"/>
      <c r="E8" s="30"/>
      <c r="F8" s="30"/>
      <c r="G8" s="30"/>
      <c r="H8" s="30"/>
      <c r="I8" s="30"/>
    </row>
    <row r="9" customFormat="false" ht="15" hidden="false" customHeight="false" outlineLevel="0" collapsed="false">
      <c r="B9" s="4" t="s">
        <v>414</v>
      </c>
      <c r="C9" s="4" t="s">
        <v>415</v>
      </c>
      <c r="D9" s="4" t="s">
        <v>416</v>
      </c>
      <c r="E9" s="4" t="s">
        <v>312</v>
      </c>
      <c r="F9" s="4" t="s">
        <v>329</v>
      </c>
      <c r="G9" s="4" t="s">
        <v>417</v>
      </c>
    </row>
    <row r="10" customFormat="false" ht="15" hidden="false" customHeight="false" outlineLevel="0" collapsed="false">
      <c r="B10" s="133" t="s">
        <v>418</v>
      </c>
      <c r="C10" s="5" t="s">
        <v>419</v>
      </c>
      <c r="D10" s="170" t="s">
        <v>133</v>
      </c>
      <c r="E10" s="133" t="s">
        <v>420</v>
      </c>
      <c r="F10" s="170" t="s">
        <v>421</v>
      </c>
      <c r="G10" s="55" t="s">
        <v>422</v>
      </c>
      <c r="H10" s="171" t="n">
        <v>4</v>
      </c>
      <c r="I10" s="172" t="s">
        <v>423</v>
      </c>
      <c r="J10" s="0" t="n">
        <v>60</v>
      </c>
    </row>
    <row r="11" customFormat="false" ht="15" hidden="false" customHeight="false" outlineLevel="0" collapsed="false">
      <c r="B11" s="6" t="s">
        <v>424</v>
      </c>
      <c r="C11" s="5" t="s">
        <v>425</v>
      </c>
      <c r="D11" s="173" t="s">
        <v>133</v>
      </c>
      <c r="E11" s="6" t="s">
        <v>426</v>
      </c>
      <c r="F11" s="173" t="s">
        <v>427</v>
      </c>
      <c r="G11" s="60" t="s">
        <v>422</v>
      </c>
      <c r="H11" s="171" t="n">
        <v>3.7</v>
      </c>
      <c r="I11" s="172" t="s">
        <v>428</v>
      </c>
      <c r="J11" s="0" t="n">
        <v>15</v>
      </c>
    </row>
    <row r="12" customFormat="false" ht="15" hidden="false" customHeight="false" outlineLevel="0" collapsed="false">
      <c r="B12" s="133" t="s">
        <v>429</v>
      </c>
      <c r="C12" s="5" t="s">
        <v>419</v>
      </c>
      <c r="D12" s="61" t="s">
        <v>430</v>
      </c>
      <c r="E12" s="133" t="s">
        <v>431</v>
      </c>
      <c r="F12" s="170" t="s">
        <v>432</v>
      </c>
      <c r="G12" s="55" t="s">
        <v>422</v>
      </c>
      <c r="H12" s="171" t="n">
        <v>4</v>
      </c>
      <c r="I12" s="172" t="s">
        <v>433</v>
      </c>
      <c r="J12" s="0" t="n">
        <v>12</v>
      </c>
    </row>
    <row r="13" customFormat="false" ht="15" hidden="false" customHeight="false" outlineLevel="0" collapsed="false">
      <c r="B13" s="6" t="s">
        <v>434</v>
      </c>
      <c r="C13" s="5" t="s">
        <v>419</v>
      </c>
      <c r="D13" s="173" t="s">
        <v>133</v>
      </c>
      <c r="E13" s="6" t="s">
        <v>435</v>
      </c>
      <c r="F13" s="173" t="s">
        <v>436</v>
      </c>
      <c r="G13" s="60" t="s">
        <v>422</v>
      </c>
      <c r="H13" s="171" t="n">
        <v>4</v>
      </c>
      <c r="I13" s="172" t="s">
        <v>437</v>
      </c>
      <c r="J13" s="0" t="n">
        <v>8</v>
      </c>
    </row>
    <row r="14" customFormat="false" ht="15" hidden="false" customHeight="false" outlineLevel="0" collapsed="false">
      <c r="B14" s="133" t="s">
        <v>438</v>
      </c>
      <c r="C14" s="7" t="s">
        <v>439</v>
      </c>
      <c r="D14" s="61" t="s">
        <v>440</v>
      </c>
      <c r="E14" s="133" t="s">
        <v>441</v>
      </c>
      <c r="F14" s="170" t="s">
        <v>335</v>
      </c>
      <c r="G14" s="61" t="s">
        <v>442</v>
      </c>
      <c r="H14" s="171" t="n">
        <v>3.3</v>
      </c>
      <c r="I14" s="172" t="s">
        <v>443</v>
      </c>
      <c r="J14" s="0" t="n">
        <v>5</v>
      </c>
    </row>
    <row r="15" customFormat="false" ht="15" hidden="false" customHeight="false" outlineLevel="0" collapsed="false">
      <c r="B15" s="6" t="s">
        <v>444</v>
      </c>
      <c r="C15" s="5" t="s">
        <v>425</v>
      </c>
      <c r="D15" s="174" t="s">
        <v>430</v>
      </c>
      <c r="E15" s="6" t="s">
        <v>445</v>
      </c>
      <c r="F15" s="173" t="s">
        <v>353</v>
      </c>
      <c r="G15" s="60" t="s">
        <v>422</v>
      </c>
      <c r="H15" s="171" t="n">
        <v>3.7</v>
      </c>
    </row>
    <row r="16" customFormat="false" ht="15" hidden="false" customHeight="false" outlineLevel="0" collapsed="false">
      <c r="B16" s="133" t="s">
        <v>446</v>
      </c>
      <c r="C16" s="5" t="s">
        <v>419</v>
      </c>
      <c r="D16" s="170" t="s">
        <v>133</v>
      </c>
      <c r="E16" s="133" t="s">
        <v>447</v>
      </c>
      <c r="F16" s="170" t="s">
        <v>448</v>
      </c>
      <c r="G16" s="55" t="s">
        <v>422</v>
      </c>
      <c r="H16" s="171" t="n">
        <v>4</v>
      </c>
    </row>
    <row r="17" customFormat="false" ht="15" hidden="false" customHeight="false" outlineLevel="0" collapsed="false">
      <c r="B17" s="6" t="s">
        <v>449</v>
      </c>
      <c r="C17" s="5" t="s">
        <v>419</v>
      </c>
      <c r="D17" s="174" t="s">
        <v>430</v>
      </c>
      <c r="E17" s="6" t="s">
        <v>450</v>
      </c>
      <c r="F17" s="173" t="s">
        <v>421</v>
      </c>
      <c r="G17" s="60" t="s">
        <v>422</v>
      </c>
      <c r="H17" s="171" t="n">
        <v>4</v>
      </c>
    </row>
    <row r="18" customFormat="false" ht="15" hidden="false" customHeight="false" outlineLevel="0" collapsed="false">
      <c r="B18" s="133" t="s">
        <v>451</v>
      </c>
      <c r="C18" s="5" t="s">
        <v>419</v>
      </c>
      <c r="D18" s="170" t="s">
        <v>452</v>
      </c>
      <c r="E18" s="133" t="s">
        <v>453</v>
      </c>
      <c r="F18" s="170" t="s">
        <v>454</v>
      </c>
      <c r="G18" s="55" t="s">
        <v>422</v>
      </c>
      <c r="H18" s="171" t="n">
        <v>4</v>
      </c>
    </row>
    <row r="19" customFormat="false" ht="15" hidden="false" customHeight="false" outlineLevel="0" collapsed="false">
      <c r="B19" s="6" t="s">
        <v>455</v>
      </c>
      <c r="C19" s="5" t="s">
        <v>419</v>
      </c>
      <c r="D19" s="174" t="s">
        <v>440</v>
      </c>
      <c r="E19" s="6" t="s">
        <v>456</v>
      </c>
      <c r="F19" s="173" t="s">
        <v>457</v>
      </c>
      <c r="G19" s="60" t="s">
        <v>422</v>
      </c>
      <c r="H19" s="171" t="n">
        <v>4</v>
      </c>
    </row>
  </sheetData>
  <mergeCells count="11">
    <mergeCell ref="B1:I1"/>
    <mergeCell ref="B2:I2"/>
    <mergeCell ref="B4:B5"/>
    <mergeCell ref="C4:C5"/>
    <mergeCell ref="D4:D5"/>
    <mergeCell ref="E4:E5"/>
    <mergeCell ref="F4:F5"/>
    <mergeCell ref="G4:G5"/>
    <mergeCell ref="H4:H5"/>
    <mergeCell ref="I4:I5"/>
    <mergeCell ref="B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2026-03-03T09:51:30Z</dcterms:created>
  <dc:creator>openpyxl</dc:creator>
  <dc:description/>
  <dc:language>en-US</dc:language>
  <cp:lastModifiedBy/>
  <dcterms:modified xsi:type="dcterms:W3CDTF">2026-03-03T09:51:34Z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